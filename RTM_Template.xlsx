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Summary Dashboard" sheetId="2" state="visible" r:id="rId4"/>
    <sheet name="Legend &amp;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<sst xmlns="http://schemas.openxmlformats.org/spreadsheetml/2006/main" count="325" uniqueCount="192">
  <si>
    <t xml:space="preserve">REQUIREMENT TRACEABILITY MATRIX (RTM)</t>
  </si>
  <si>
    <t xml:space="preserve">Project Name: ___________________________     Version: _______     Date: ___________     Prepared By: ___________________________</t>
  </si>
  <si>
    <t xml:space="preserve">▸  TRACEABILITY MATRIX</t>
  </si>
  <si>
    <t xml:space="preserve">REQ ID</t>
  </si>
  <si>
    <t xml:space="preserve">Category</t>
  </si>
  <si>
    <t xml:space="preserve">Requirement
Description</t>
  </si>
  <si>
    <t xml:space="preserve">Priority</t>
  </si>
  <si>
    <t xml:space="preserve">Source</t>
  </si>
  <si>
    <t xml:space="preserve">Status</t>
  </si>
  <si>
    <t xml:space="preserve">Design Doc
Ref</t>
  </si>
  <si>
    <t xml:space="preserve">Module /
Component</t>
  </si>
  <si>
    <t xml:space="preserve">Test Case ID</t>
  </si>
  <si>
    <t xml:space="preserve">Test Type</t>
  </si>
  <si>
    <t xml:space="preserve">Test Status</t>
  </si>
  <si>
    <t xml:space="preserve">Build /
Sprint</t>
  </si>
  <si>
    <t xml:space="preserve">UAT Case ID</t>
  </si>
  <si>
    <t xml:space="preserve">UAT Status</t>
  </si>
  <si>
    <t xml:space="preserve">Defect ID</t>
  </si>
  <si>
    <t xml:space="preserve">Remarks</t>
  </si>
  <si>
    <t xml:space="preserve">REQ-001</t>
  </si>
  <si>
    <t xml:space="preserve">Functional</t>
  </si>
  <si>
    <t xml:space="preserve">The system shall allow users to register with a valid email address and password.</t>
  </si>
  <si>
    <t xml:space="preserve">High</t>
  </si>
  <si>
    <t xml:space="preserve">BRD §2.1</t>
  </si>
  <si>
    <t xml:space="preserve">Approved</t>
  </si>
  <si>
    <t xml:space="preserve">DD-001</t>
  </si>
  <si>
    <t xml:space="preserve">Auth Module</t>
  </si>
  <si>
    <t xml:space="preserve">TC-001</t>
  </si>
  <si>
    <t xml:space="preserve">Integration</t>
  </si>
  <si>
    <t xml:space="preserve">Passed</t>
  </si>
  <si>
    <t xml:space="preserve">Sprint 1</t>
  </si>
  <si>
    <t xml:space="preserve">UAT-001</t>
  </si>
  <si>
    <t xml:space="preserve">Login flow verified</t>
  </si>
  <si>
    <t xml:space="preserve">REQ-002</t>
  </si>
  <si>
    <t xml:space="preserve">The system shall send an email verification link upon successful registration.</t>
  </si>
  <si>
    <t xml:space="preserve">TC-002</t>
  </si>
  <si>
    <t xml:space="preserve">System</t>
  </si>
  <si>
    <t xml:space="preserve">UAT-002</t>
  </si>
  <si>
    <t xml:space="preserve">REQ-003</t>
  </si>
  <si>
    <t xml:space="preserve">Users shall be able to reset their password via a secure token link.</t>
  </si>
  <si>
    <t xml:space="preserve">BRD §2.2</t>
  </si>
  <si>
    <t xml:space="preserve">DD-002</t>
  </si>
  <si>
    <t xml:space="preserve">TC-003</t>
  </si>
  <si>
    <t xml:space="preserve">Failed</t>
  </si>
  <si>
    <t xml:space="preserve">Sprint 2</t>
  </si>
  <si>
    <t xml:space="preserve">UAT-003</t>
  </si>
  <si>
    <t xml:space="preserve">In Progress</t>
  </si>
  <si>
    <t xml:space="preserve">DEF-007</t>
  </si>
  <si>
    <t xml:space="preserve">Token expiry issue logged</t>
  </si>
  <si>
    <t xml:space="preserve">REQ-004</t>
  </si>
  <si>
    <t xml:space="preserve">The system shall support role-based access control (RBAC) with at least 3 roles.</t>
  </si>
  <si>
    <t xml:space="preserve">BRD §3.1</t>
  </si>
  <si>
    <t xml:space="preserve">In Review</t>
  </si>
  <si>
    <t xml:space="preserve">DD-003</t>
  </si>
  <si>
    <t xml:space="preserve">TC-010</t>
  </si>
  <si>
    <t xml:space="preserve">Unit</t>
  </si>
  <si>
    <t xml:space="preserve">Not Run</t>
  </si>
  <si>
    <t xml:space="preserve">Sprint 3</t>
  </si>
  <si>
    <t xml:space="preserve">Not Started</t>
  </si>
  <si>
    <t xml:space="preserve">REQ-005</t>
  </si>
  <si>
    <t xml:space="preserve">Non-Functional</t>
  </si>
  <si>
    <t xml:space="preserve">The system shall handle 1,000 concurrent users without performance degradation.</t>
  </si>
  <si>
    <t xml:space="preserve">Medium</t>
  </si>
  <si>
    <t xml:space="preserve">NFR §1.1</t>
  </si>
  <si>
    <t xml:space="preserve">DD-010</t>
  </si>
  <si>
    <t xml:space="preserve">Infrastructure</t>
  </si>
  <si>
    <t xml:space="preserve">TC-020</t>
  </si>
  <si>
    <t xml:space="preserve">Performance</t>
  </si>
  <si>
    <t xml:space="preserve">Load test ongoing</t>
  </si>
  <si>
    <t xml:space="preserve">REQ-006</t>
  </si>
  <si>
    <t xml:space="preserve">All API responses shall be returned within 300 ms under normal load.</t>
  </si>
  <si>
    <t xml:space="preserve">NFR §1.2</t>
  </si>
  <si>
    <t xml:space="preserve">TC-021</t>
  </si>
  <si>
    <t xml:space="preserve">REQ-007</t>
  </si>
  <si>
    <t xml:space="preserve">The application shall achieve 99.9% uptime SLA per month.</t>
  </si>
  <si>
    <t xml:space="preserve">NFR §2.1</t>
  </si>
  <si>
    <t xml:space="preserve">DD-011</t>
  </si>
  <si>
    <t xml:space="preserve">TC-022</t>
  </si>
  <si>
    <t xml:space="preserve">Reliability</t>
  </si>
  <si>
    <t xml:space="preserve">Sprint 4</t>
  </si>
  <si>
    <t xml:space="preserve">REQ-008</t>
  </si>
  <si>
    <t xml:space="preserve">Security</t>
  </si>
  <si>
    <t xml:space="preserve">All passwords shall be hashed using bcrypt with a minimum cost factor of 12.</t>
  </si>
  <si>
    <t xml:space="preserve">Critical</t>
  </si>
  <si>
    <t xml:space="preserve">SEC §1.1</t>
  </si>
  <si>
    <t xml:space="preserve">DD-020</t>
  </si>
  <si>
    <t xml:space="preserve">TC-030</t>
  </si>
  <si>
    <t xml:space="preserve">UAT-010</t>
  </si>
  <si>
    <t xml:space="preserve">REQ-009</t>
  </si>
  <si>
    <t xml:space="preserve">The system shall enforce HTTPS on all endpoints (TLS 1.2+).</t>
  </si>
  <si>
    <t xml:space="preserve">SEC §1.2</t>
  </si>
  <si>
    <t xml:space="preserve">TC-031</t>
  </si>
  <si>
    <t xml:space="preserve">UAT-011</t>
  </si>
  <si>
    <t xml:space="preserve">REQ-010</t>
  </si>
  <si>
    <t xml:space="preserve">Session tokens shall expire after 30 minutes of inactivity.</t>
  </si>
  <si>
    <t xml:space="preserve">SEC §2.1</t>
  </si>
  <si>
    <t xml:space="preserve">DD-021</t>
  </si>
  <si>
    <t xml:space="preserve">TC-032</t>
  </si>
  <si>
    <t xml:space="preserve">DEF-012</t>
  </si>
  <si>
    <t xml:space="preserve">Session not invalidated on mobile</t>
  </si>
  <si>
    <t xml:space="preserve">REQ-011</t>
  </si>
  <si>
    <t xml:space="preserve">UI/UX</t>
  </si>
  <si>
    <t xml:space="preserve">The dashboard shall display key metrics on a single screen without scrolling on 1080p displays.</t>
  </si>
  <si>
    <t xml:space="preserve">UX §1.1</t>
  </si>
  <si>
    <t xml:space="preserve">DD-030</t>
  </si>
  <si>
    <t xml:space="preserve">Dashboard</t>
  </si>
  <si>
    <t xml:space="preserve">TC-040</t>
  </si>
  <si>
    <t xml:space="preserve">UI</t>
  </si>
  <si>
    <t xml:space="preserve">Wireframe under revision</t>
  </si>
  <si>
    <t xml:space="preserve">REQ-012</t>
  </si>
  <si>
    <t xml:space="preserve">All form fields shall display inline validation messages within 200 ms of input.</t>
  </si>
  <si>
    <t xml:space="preserve">UX §1.2</t>
  </si>
  <si>
    <t xml:space="preserve">DD-031</t>
  </si>
  <si>
    <t xml:space="preserve">UI Components</t>
  </si>
  <si>
    <t xml:space="preserve">TC-041</t>
  </si>
  <si>
    <t xml:space="preserve">REQ-013</t>
  </si>
  <si>
    <t xml:space="preserve">The system shall integrate with Stripe for payment processing.</t>
  </si>
  <si>
    <t xml:space="preserve">BRD §5.1</t>
  </si>
  <si>
    <t xml:space="preserve">DD-040</t>
  </si>
  <si>
    <t xml:space="preserve">Payments</t>
  </si>
  <si>
    <t xml:space="preserve">TC-050</t>
  </si>
  <si>
    <t xml:space="preserve">Webhook listener in dev</t>
  </si>
  <si>
    <t xml:space="preserve">REQ-014</t>
  </si>
  <si>
    <t xml:space="preserve">The system shall send transactional emails via SendGrid API.</t>
  </si>
  <si>
    <t xml:space="preserve">BRD §5.2</t>
  </si>
  <si>
    <t xml:space="preserve">DD-041</t>
  </si>
  <si>
    <t xml:space="preserve">Notifications</t>
  </si>
  <si>
    <t xml:space="preserve">TC-051</t>
  </si>
  <si>
    <t xml:space="preserve">UAT-020</t>
  </si>
  <si>
    <t xml:space="preserve">REQ-015</t>
  </si>
  <si>
    <t xml:space="preserve">Compliance</t>
  </si>
  <si>
    <t xml:space="preserve">The system shall comply with GDPR — provide data export and deletion on user request.</t>
  </si>
  <si>
    <t xml:space="preserve">LEG §1.1</t>
  </si>
  <si>
    <t xml:space="preserve">DD-050</t>
  </si>
  <si>
    <t xml:space="preserve">User Management</t>
  </si>
  <si>
    <t xml:space="preserve">TC-060</t>
  </si>
  <si>
    <t xml:space="preserve">Legal review pending</t>
  </si>
  <si>
    <t xml:space="preserve">RTM SUMMARY DASHBOARD</t>
  </si>
  <si>
    <t xml:space="preserve">Auto-calculated from the RTM sheet  ·  All formulas reference column data in 'RTM'</t>
  </si>
  <si>
    <t xml:space="preserve">Total Requirements</t>
  </si>
  <si>
    <t xml:space="preserve">Tests Passed</t>
  </si>
  <si>
    <t xml:space="preserve">Tests Failed</t>
  </si>
  <si>
    <t xml:space="preserve">Open Defects</t>
  </si>
  <si>
    <t xml:space="preserve">Requirements by Category</t>
  </si>
  <si>
    <t xml:space="preserve">Test Execution Status</t>
  </si>
  <si>
    <t xml:space="preserve">Count</t>
  </si>
  <si>
    <t xml:space="preserve">% of Total</t>
  </si>
  <si>
    <t xml:space="preserve">RTM — LEGEND &amp; FIELD GUIDE</t>
  </si>
  <si>
    <t xml:space="preserve">Priority Legend</t>
  </si>
  <si>
    <t xml:space="preserve">Req. Status Legend</t>
  </si>
  <si>
    <t xml:space="preserve">System-breaking / legal / security — must be done</t>
  </si>
  <si>
    <t xml:space="preserve">Draft</t>
  </si>
  <si>
    <t xml:space="preserve">Under authoring, not yet reviewed</t>
  </si>
  <si>
    <t xml:space="preserve">Core business function — required for go-live</t>
  </si>
  <si>
    <t xml:space="preserve">Submitted for stakeholder review</t>
  </si>
  <si>
    <t xml:space="preserve">Important but not blocking release</t>
  </si>
  <si>
    <t xml:space="preserve">Formally signed off — baselined</t>
  </si>
  <si>
    <t xml:space="preserve">Low</t>
  </si>
  <si>
    <t xml:space="preserve">Nice-to-have / deferred to future sprint</t>
  </si>
  <si>
    <t xml:space="preserve">Rejected</t>
  </si>
  <si>
    <t xml:space="preserve">Declined — see Remarks for reason</t>
  </si>
  <si>
    <t xml:space="preserve">Test Status Legend</t>
  </si>
  <si>
    <t xml:space="preserve">UAT Status Legend</t>
  </si>
  <si>
    <t xml:space="preserve">All test assertions green</t>
  </si>
  <si>
    <t xml:space="preserve">User accepted — sign-off obtained</t>
  </si>
  <si>
    <t xml:space="preserve">One or more assertions failed</t>
  </si>
  <si>
    <t xml:space="preserve">User testing underway</t>
  </si>
  <si>
    <t xml:space="preserve">Test execution in progress</t>
  </si>
  <si>
    <t xml:space="preserve">UAT phase not reached yet</t>
  </si>
  <si>
    <t xml:space="preserve">Test not yet started / blocked</t>
  </si>
  <si>
    <t xml:space="preserve">User raised defects — rework required</t>
  </si>
  <si>
    <t xml:space="preserve">COLUMN FIELD DESCRIPTIONS</t>
  </si>
  <si>
    <t xml:space="preserve">Unique identifier, e.g. REQ-001. Never reuse a deleted ID.</t>
  </si>
  <si>
    <t xml:space="preserve">Functional / Non-Functional / Security / UI-UX / Integration / Compliance</t>
  </si>
  <si>
    <t xml:space="preserve">Requirement Description</t>
  </si>
  <si>
    <t xml:space="preserve">Clear, testable statement using 'shall'. One requirement per row.</t>
  </si>
  <si>
    <t xml:space="preserve">Critical / High / Medium / Low — agreed with Product Owner.</t>
  </si>
  <si>
    <t xml:space="preserve">BRD / SRS section reference or stakeholder name.</t>
  </si>
  <si>
    <t xml:space="preserve">Draft → In Review → Approved or Rejected.</t>
  </si>
  <si>
    <t xml:space="preserve">Design Doc Ref</t>
  </si>
  <si>
    <t xml:space="preserve">Reference to the corresponding section in the Design Document.</t>
  </si>
  <si>
    <t xml:space="preserve">Module / Component</t>
  </si>
  <si>
    <t xml:space="preserve">System module or microservice that implements this requirement.</t>
  </si>
  <si>
    <t xml:space="preserve">Linked test case identifier in the test management tool (e.g. TC-001).</t>
  </si>
  <si>
    <t xml:space="preserve">Unit / Integration / System / Performance / Security / UI / Compliance.</t>
  </si>
  <si>
    <t xml:space="preserve">Latest execution status of the linked test case.</t>
  </si>
  <si>
    <t xml:space="preserve">Build / Sprint</t>
  </si>
  <si>
    <t xml:space="preserve">Sprint or release build where this was implemented and tested.</t>
  </si>
  <si>
    <t xml:space="preserve">Linked UAT scenario identifier.</t>
  </si>
  <si>
    <t xml:space="preserve">Status reported by business/QA during UAT.</t>
  </si>
  <si>
    <t xml:space="preserve">Defect tracker ticket (e.g. DEF-007). Leave blank if no defects.</t>
  </si>
  <si>
    <t xml:space="preserve">Free-text notes: blockers, decisions, cross-links, open questions.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</si>
</sst>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DDDDD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4B5"/>
        <bgColor rgb="FF0066CC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BF3FB"/>
      </patternFill>
    </fill>
    <fill>
      <patternFill patternType="solid">
        <fgColor rgb="FFD9E1F2"/>
        <bgColor rgb="FFDDDDDD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D9E1F2"/>
      <rgbColor rgb="FFFF99CC"/>
      <rgbColor rgb="FFDDDDDD"/>
      <rgbColor rgb="FFFCE4D6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</row>
    <row r="5" customFormat="false" ht="24" hidden="false" customHeight="true" outlineLevel="0" collapsed="false">
      <c r="A5" s="5" t="s">
        <v>19</v>
      </c>
      <c r="B5" s="5" t="s">
        <v>20</v>
      </c>
      <c r="C5" s="6" t="s">
        <v>21</v>
      </c>
      <c r="D5" s="7" t="s">
        <v>22</v>
      </c>
      <c r="E5" s="5" t="s">
        <v>23</v>
      </c>
      <c r="F5" s="8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8" t="s">
        <v>29</v>
      </c>
      <c r="L5" s="5" t="s">
        <v>30</v>
      </c>
      <c r="M5" s="5" t="s">
        <v>31</v>
      </c>
      <c r="N5" s="8" t="s">
        <v>29</v>
      </c>
      <c r="O5" s="5"/>
      <c r="P5" s="6" t="s">
        <v>32</v>
      </c>
    </row>
    <row r="6" customFormat="false" ht="24" hidden="false" customHeight="true" outlineLevel="0" collapsed="false">
      <c r="A6" s="9" t="s">
        <v>33</v>
      </c>
      <c r="B6" s="9" t="s">
        <v>20</v>
      </c>
      <c r="C6" s="10" t="s">
        <v>34</v>
      </c>
      <c r="D6" s="7" t="s">
        <v>22</v>
      </c>
      <c r="E6" s="9" t="s">
        <v>23</v>
      </c>
      <c r="F6" s="8" t="s">
        <v>24</v>
      </c>
      <c r="G6" s="9" t="s">
        <v>25</v>
      </c>
      <c r="H6" s="9" t="s">
        <v>26</v>
      </c>
      <c r="I6" s="9" t="s">
        <v>35</v>
      </c>
      <c r="J6" s="9" t="s">
        <v>36</v>
      </c>
      <c r="K6" s="8" t="s">
        <v>29</v>
      </c>
      <c r="L6" s="9" t="s">
        <v>30</v>
      </c>
      <c r="M6" s="9" t="s">
        <v>37</v>
      </c>
      <c r="N6" s="8" t="s">
        <v>29</v>
      </c>
      <c r="O6" s="9"/>
      <c r="P6" s="10"/>
    </row>
    <row r="7" customFormat="false" ht="24" hidden="false" customHeight="true" outlineLevel="0" collapsed="false">
      <c r="A7" s="5" t="s">
        <v>38</v>
      </c>
      <c r="B7" s="5" t="s">
        <v>20</v>
      </c>
      <c r="C7" s="6" t="s">
        <v>39</v>
      </c>
      <c r="D7" s="7" t="s">
        <v>22</v>
      </c>
      <c r="E7" s="5" t="s">
        <v>40</v>
      </c>
      <c r="F7" s="8" t="s">
        <v>24</v>
      </c>
      <c r="G7" s="5" t="s">
        <v>41</v>
      </c>
      <c r="H7" s="5" t="s">
        <v>26</v>
      </c>
      <c r="I7" s="5" t="s">
        <v>42</v>
      </c>
      <c r="J7" s="5" t="s">
        <v>36</v>
      </c>
      <c r="K7" s="11" t="s">
        <v>43</v>
      </c>
      <c r="L7" s="5" t="s">
        <v>44</v>
      </c>
      <c r="M7" s="5" t="s">
        <v>45</v>
      </c>
      <c r="N7" s="7" t="s">
        <v>46</v>
      </c>
      <c r="O7" s="5" t="s">
        <v>47</v>
      </c>
      <c r="P7" s="6" t="s">
        <v>48</v>
      </c>
    </row>
    <row r="8" customFormat="false" ht="24" hidden="false" customHeight="true" outlineLevel="0" collapsed="false">
      <c r="A8" s="9" t="s">
        <v>49</v>
      </c>
      <c r="B8" s="9" t="s">
        <v>20</v>
      </c>
      <c r="C8" s="10" t="s">
        <v>50</v>
      </c>
      <c r="D8" s="7" t="s">
        <v>22</v>
      </c>
      <c r="E8" s="9" t="s">
        <v>51</v>
      </c>
      <c r="F8" s="7" t="s">
        <v>52</v>
      </c>
      <c r="G8" s="9" t="s">
        <v>53</v>
      </c>
      <c r="H8" s="9" t="s">
        <v>26</v>
      </c>
      <c r="I8" s="9" t="s">
        <v>54</v>
      </c>
      <c r="J8" s="9" t="s">
        <v>55</v>
      </c>
      <c r="K8" s="12" t="s">
        <v>56</v>
      </c>
      <c r="L8" s="9" t="s">
        <v>57</v>
      </c>
      <c r="M8" s="9"/>
      <c r="N8" s="12" t="s">
        <v>58</v>
      </c>
      <c r="O8" s="9"/>
      <c r="P8" s="10"/>
    </row>
    <row r="9" customFormat="false" ht="24" hidden="false" customHeight="true" outlineLevel="0" collapsed="false">
      <c r="A9" s="5" t="s">
        <v>59</v>
      </c>
      <c r="B9" s="5" t="s">
        <v>60</v>
      </c>
      <c r="C9" s="6" t="s">
        <v>61</v>
      </c>
      <c r="D9" s="8" t="s">
        <v>62</v>
      </c>
      <c r="E9" s="5" t="s">
        <v>63</v>
      </c>
      <c r="F9" s="8" t="s">
        <v>24</v>
      </c>
      <c r="G9" s="5" t="s">
        <v>64</v>
      </c>
      <c r="H9" s="5" t="s">
        <v>65</v>
      </c>
      <c r="I9" s="5" t="s">
        <v>66</v>
      </c>
      <c r="J9" s="5" t="s">
        <v>67</v>
      </c>
      <c r="K9" s="7" t="s">
        <v>46</v>
      </c>
      <c r="L9" s="5" t="s">
        <v>44</v>
      </c>
      <c r="M9" s="5"/>
      <c r="N9" s="12" t="s">
        <v>58</v>
      </c>
      <c r="O9" s="5"/>
      <c r="P9" s="6" t="s">
        <v>68</v>
      </c>
    </row>
    <row r="10" customFormat="false" ht="24" hidden="false" customHeight="true" outlineLevel="0" collapsed="false">
      <c r="A10" s="9" t="s">
        <v>69</v>
      </c>
      <c r="B10" s="9" t="s">
        <v>60</v>
      </c>
      <c r="C10" s="10" t="s">
        <v>70</v>
      </c>
      <c r="D10" s="7" t="s">
        <v>22</v>
      </c>
      <c r="E10" s="9" t="s">
        <v>71</v>
      </c>
      <c r="F10" s="8" t="s">
        <v>24</v>
      </c>
      <c r="G10" s="9" t="s">
        <v>64</v>
      </c>
      <c r="H10" s="9" t="s">
        <v>65</v>
      </c>
      <c r="I10" s="9" t="s">
        <v>72</v>
      </c>
      <c r="J10" s="9" t="s">
        <v>67</v>
      </c>
      <c r="K10" s="12" t="s">
        <v>56</v>
      </c>
      <c r="L10" s="9" t="s">
        <v>57</v>
      </c>
      <c r="M10" s="9"/>
      <c r="N10" s="12" t="s">
        <v>58</v>
      </c>
      <c r="O10" s="9"/>
      <c r="P10" s="10"/>
    </row>
    <row r="11" customFormat="false" ht="24" hidden="false" customHeight="true" outlineLevel="0" collapsed="false">
      <c r="A11" s="5" t="s">
        <v>73</v>
      </c>
      <c r="B11" s="5" t="s">
        <v>60</v>
      </c>
      <c r="C11" s="6" t="s">
        <v>74</v>
      </c>
      <c r="D11" s="7" t="s">
        <v>22</v>
      </c>
      <c r="E11" s="5" t="s">
        <v>75</v>
      </c>
      <c r="F11" s="8" t="s">
        <v>24</v>
      </c>
      <c r="G11" s="5" t="s">
        <v>76</v>
      </c>
      <c r="H11" s="5" t="s">
        <v>65</v>
      </c>
      <c r="I11" s="5" t="s">
        <v>77</v>
      </c>
      <c r="J11" s="5" t="s">
        <v>78</v>
      </c>
      <c r="K11" s="12" t="s">
        <v>56</v>
      </c>
      <c r="L11" s="5" t="s">
        <v>79</v>
      </c>
      <c r="M11" s="5"/>
      <c r="N11" s="12" t="s">
        <v>58</v>
      </c>
      <c r="O11" s="5"/>
      <c r="P11" s="6"/>
    </row>
    <row r="12" customFormat="false" ht="24" hidden="false" customHeight="true" outlineLevel="0" collapsed="false">
      <c r="A12" s="9" t="s">
        <v>80</v>
      </c>
      <c r="B12" s="9" t="s">
        <v>81</v>
      </c>
      <c r="C12" s="10" t="s">
        <v>82</v>
      </c>
      <c r="D12" s="11" t="s">
        <v>83</v>
      </c>
      <c r="E12" s="9" t="s">
        <v>84</v>
      </c>
      <c r="F12" s="8" t="s">
        <v>24</v>
      </c>
      <c r="G12" s="9" t="s">
        <v>85</v>
      </c>
      <c r="H12" s="9" t="s">
        <v>26</v>
      </c>
      <c r="I12" s="9" t="s">
        <v>86</v>
      </c>
      <c r="J12" s="9" t="s">
        <v>81</v>
      </c>
      <c r="K12" s="8" t="s">
        <v>29</v>
      </c>
      <c r="L12" s="9" t="s">
        <v>30</v>
      </c>
      <c r="M12" s="9" t="s">
        <v>87</v>
      </c>
      <c r="N12" s="8" t="s">
        <v>29</v>
      </c>
      <c r="O12" s="9"/>
      <c r="P12" s="10"/>
    </row>
    <row r="13" customFormat="false" ht="24" hidden="false" customHeight="true" outlineLevel="0" collapsed="false">
      <c r="A13" s="5" t="s">
        <v>88</v>
      </c>
      <c r="B13" s="5" t="s">
        <v>81</v>
      </c>
      <c r="C13" s="6" t="s">
        <v>89</v>
      </c>
      <c r="D13" s="11" t="s">
        <v>83</v>
      </c>
      <c r="E13" s="5" t="s">
        <v>90</v>
      </c>
      <c r="F13" s="8" t="s">
        <v>24</v>
      </c>
      <c r="G13" s="5" t="s">
        <v>85</v>
      </c>
      <c r="H13" s="5" t="s">
        <v>65</v>
      </c>
      <c r="I13" s="5" t="s">
        <v>91</v>
      </c>
      <c r="J13" s="5" t="s">
        <v>81</v>
      </c>
      <c r="K13" s="8" t="s">
        <v>29</v>
      </c>
      <c r="L13" s="5" t="s">
        <v>30</v>
      </c>
      <c r="M13" s="5" t="s">
        <v>92</v>
      </c>
      <c r="N13" s="8" t="s">
        <v>29</v>
      </c>
      <c r="O13" s="5"/>
      <c r="P13" s="6"/>
    </row>
    <row r="14" customFormat="false" ht="24" hidden="false" customHeight="true" outlineLevel="0" collapsed="false">
      <c r="A14" s="9" t="s">
        <v>93</v>
      </c>
      <c r="B14" s="9" t="s">
        <v>81</v>
      </c>
      <c r="C14" s="10" t="s">
        <v>94</v>
      </c>
      <c r="D14" s="7" t="s">
        <v>22</v>
      </c>
      <c r="E14" s="9" t="s">
        <v>95</v>
      </c>
      <c r="F14" s="8" t="s">
        <v>24</v>
      </c>
      <c r="G14" s="9" t="s">
        <v>96</v>
      </c>
      <c r="H14" s="9" t="s">
        <v>26</v>
      </c>
      <c r="I14" s="9" t="s">
        <v>97</v>
      </c>
      <c r="J14" s="9" t="s">
        <v>81</v>
      </c>
      <c r="K14" s="11" t="s">
        <v>43</v>
      </c>
      <c r="L14" s="9" t="s">
        <v>44</v>
      </c>
      <c r="M14" s="9"/>
      <c r="N14" s="12" t="s">
        <v>58</v>
      </c>
      <c r="O14" s="9" t="s">
        <v>98</v>
      </c>
      <c r="P14" s="10" t="s">
        <v>99</v>
      </c>
    </row>
    <row r="15" customFormat="false" ht="24" hidden="false" customHeight="true" outlineLevel="0" collapsed="false">
      <c r="A15" s="5" t="s">
        <v>100</v>
      </c>
      <c r="B15" s="5" t="s">
        <v>101</v>
      </c>
      <c r="C15" s="6" t="s">
        <v>102</v>
      </c>
      <c r="D15" s="8" t="s">
        <v>62</v>
      </c>
      <c r="E15" s="5" t="s">
        <v>103</v>
      </c>
      <c r="F15" s="7" t="s">
        <v>52</v>
      </c>
      <c r="G15" s="5" t="s">
        <v>104</v>
      </c>
      <c r="H15" s="5" t="s">
        <v>105</v>
      </c>
      <c r="I15" s="5" t="s">
        <v>106</v>
      </c>
      <c r="J15" s="5" t="s">
        <v>107</v>
      </c>
      <c r="K15" s="12" t="s">
        <v>56</v>
      </c>
      <c r="L15" s="5" t="s">
        <v>57</v>
      </c>
      <c r="M15" s="5"/>
      <c r="N15" s="12" t="s">
        <v>58</v>
      </c>
      <c r="O15" s="5"/>
      <c r="P15" s="6" t="s">
        <v>108</v>
      </c>
    </row>
    <row r="16" customFormat="false" ht="24" hidden="false" customHeight="true" outlineLevel="0" collapsed="false">
      <c r="A16" s="9" t="s">
        <v>109</v>
      </c>
      <c r="B16" s="9" t="s">
        <v>101</v>
      </c>
      <c r="C16" s="10" t="s">
        <v>110</v>
      </c>
      <c r="D16" s="8" t="s">
        <v>62</v>
      </c>
      <c r="E16" s="9" t="s">
        <v>111</v>
      </c>
      <c r="F16" s="8" t="s">
        <v>24</v>
      </c>
      <c r="G16" s="9" t="s">
        <v>112</v>
      </c>
      <c r="H16" s="9" t="s">
        <v>113</v>
      </c>
      <c r="I16" s="9" t="s">
        <v>114</v>
      </c>
      <c r="J16" s="9" t="s">
        <v>107</v>
      </c>
      <c r="K16" s="7" t="s">
        <v>46</v>
      </c>
      <c r="L16" s="9" t="s">
        <v>44</v>
      </c>
      <c r="M16" s="9"/>
      <c r="N16" s="12" t="s">
        <v>58</v>
      </c>
      <c r="O16" s="9"/>
      <c r="P16" s="10"/>
    </row>
    <row r="17" customFormat="false" ht="24" hidden="false" customHeight="true" outlineLevel="0" collapsed="false">
      <c r="A17" s="5" t="s">
        <v>115</v>
      </c>
      <c r="B17" s="5" t="s">
        <v>28</v>
      </c>
      <c r="C17" s="6" t="s">
        <v>116</v>
      </c>
      <c r="D17" s="7" t="s">
        <v>22</v>
      </c>
      <c r="E17" s="5" t="s">
        <v>117</v>
      </c>
      <c r="F17" s="8" t="s">
        <v>24</v>
      </c>
      <c r="G17" s="5" t="s">
        <v>118</v>
      </c>
      <c r="H17" s="5" t="s">
        <v>119</v>
      </c>
      <c r="I17" s="5" t="s">
        <v>120</v>
      </c>
      <c r="J17" s="5" t="s">
        <v>28</v>
      </c>
      <c r="K17" s="7" t="s">
        <v>46</v>
      </c>
      <c r="L17" s="5" t="s">
        <v>57</v>
      </c>
      <c r="M17" s="5"/>
      <c r="N17" s="12" t="s">
        <v>58</v>
      </c>
      <c r="O17" s="5"/>
      <c r="P17" s="6" t="s">
        <v>121</v>
      </c>
    </row>
    <row r="18" customFormat="false" ht="24" hidden="false" customHeight="true" outlineLevel="0" collapsed="false">
      <c r="A18" s="9" t="s">
        <v>122</v>
      </c>
      <c r="B18" s="9" t="s">
        <v>28</v>
      </c>
      <c r="C18" s="10" t="s">
        <v>123</v>
      </c>
      <c r="D18" s="7" t="s">
        <v>22</v>
      </c>
      <c r="E18" s="9" t="s">
        <v>124</v>
      </c>
      <c r="F18" s="8" t="s">
        <v>24</v>
      </c>
      <c r="G18" s="9" t="s">
        <v>125</v>
      </c>
      <c r="H18" s="9" t="s">
        <v>126</v>
      </c>
      <c r="I18" s="9" t="s">
        <v>127</v>
      </c>
      <c r="J18" s="9" t="s">
        <v>28</v>
      </c>
      <c r="K18" s="8" t="s">
        <v>29</v>
      </c>
      <c r="L18" s="9" t="s">
        <v>30</v>
      </c>
      <c r="M18" s="9" t="s">
        <v>128</v>
      </c>
      <c r="N18" s="8" t="s">
        <v>29</v>
      </c>
      <c r="O18" s="9"/>
      <c r="P18" s="10"/>
    </row>
    <row r="19" customFormat="false" ht="24" hidden="false" customHeight="true" outlineLevel="0" collapsed="false">
      <c r="A19" s="5" t="s">
        <v>129</v>
      </c>
      <c r="B19" s="5" t="s">
        <v>130</v>
      </c>
      <c r="C19" s="6" t="s">
        <v>131</v>
      </c>
      <c r="D19" s="11" t="s">
        <v>83</v>
      </c>
      <c r="E19" s="5" t="s">
        <v>132</v>
      </c>
      <c r="F19" s="7" t="s">
        <v>52</v>
      </c>
      <c r="G19" s="5" t="s">
        <v>133</v>
      </c>
      <c r="H19" s="5" t="s">
        <v>134</v>
      </c>
      <c r="I19" s="5" t="s">
        <v>135</v>
      </c>
      <c r="J19" s="5" t="s">
        <v>130</v>
      </c>
      <c r="K19" s="12" t="s">
        <v>56</v>
      </c>
      <c r="L19" s="5" t="s">
        <v>79</v>
      </c>
      <c r="M19" s="5"/>
      <c r="N19" s="12" t="s">
        <v>58</v>
      </c>
      <c r="O19" s="5"/>
      <c r="P19" s="6" t="s">
        <v>136</v>
      </c>
    </row>
    <row r="20" customFormat="false" ht="21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21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21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3" t="s">
        <v>137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8" hidden="false" customHeight="true" outlineLevel="0" collapsed="false">
      <c r="A2" s="14" t="s">
        <v>138</v>
      </c>
      <c r="B2" s="14"/>
      <c r="C2" s="14"/>
      <c r="D2" s="14"/>
      <c r="E2" s="14"/>
      <c r="F2" s="14"/>
      <c r="G2" s="14"/>
      <c r="H2" s="14"/>
      <c r="I2" s="14"/>
      <c r="J2" s="14"/>
    </row>
    <row r="4" customFormat="false" ht="21.75" hidden="false" customHeight="true" outlineLevel="0" collapsed="false">
      <c r="A4" s="4" t="s">
        <v>139</v>
      </c>
      <c r="B4" s="15" t="s">
        <v>24</v>
      </c>
      <c r="C4" s="16" t="s">
        <v>52</v>
      </c>
      <c r="D4" s="15" t="s">
        <v>140</v>
      </c>
      <c r="E4" s="17" t="s">
        <v>141</v>
      </c>
      <c r="F4" s="17" t="s">
        <v>142</v>
      </c>
    </row>
    <row r="5" customFormat="false" ht="39.75" hidden="false" customHeight="true" outlineLevel="0" collapsed="false">
      <c r="A5" s="18" t="n">
        <f aca="false">COUNTA(RTM!A5:A19)</f>
        <v>15</v>
      </c>
      <c r="B5" s="19" t="n">
        <f aca="false">COUNTIF(RTM!F5:F19,"Approved")</f>
        <v>12</v>
      </c>
      <c r="C5" s="20" t="n">
        <f aca="false">COUNTIF(RTM!F5:F19,"In Review")</f>
        <v>3</v>
      </c>
      <c r="D5" s="19" t="n">
        <f aca="false">COUNTIF(RTM!K5:K19,"Passed")</f>
        <v>5</v>
      </c>
      <c r="E5" s="21" t="n">
        <f aca="false">COUNTIF(RTM!K5:K19,"Failed")</f>
        <v>2</v>
      </c>
      <c r="F5" s="21" t="n">
        <f aca="false">COUNTA(RTM!O5:O19)</f>
        <v>2</v>
      </c>
    </row>
    <row r="6" customFormat="false" ht="12" hidden="false" customHeight="true" outlineLevel="0" collapsed="false"/>
    <row r="7" customFormat="false" ht="19.5" hidden="false" customHeight="true" outlineLevel="0" collapsed="false">
      <c r="A7" s="22" t="s">
        <v>143</v>
      </c>
      <c r="B7" s="22"/>
      <c r="C7" s="22"/>
      <c r="E7" s="22" t="s">
        <v>144</v>
      </c>
      <c r="F7" s="22"/>
      <c r="G7" s="22"/>
    </row>
    <row r="8" customFormat="false" ht="19.5" hidden="false" customHeight="true" outlineLevel="0" collapsed="false">
      <c r="A8" s="4" t="s">
        <v>4</v>
      </c>
      <c r="B8" s="4" t="s">
        <v>145</v>
      </c>
      <c r="C8" s="4" t="s">
        <v>146</v>
      </c>
      <c r="E8" s="4" t="s">
        <v>8</v>
      </c>
      <c r="F8" s="4" t="s">
        <v>145</v>
      </c>
      <c r="G8" s="4" t="s">
        <v>146</v>
      </c>
    </row>
    <row r="9" customFormat="false" ht="19.5" hidden="false" customHeight="true" outlineLevel="0" collapsed="false">
      <c r="A9" s="23" t="s">
        <v>20</v>
      </c>
      <c r="B9" s="24" t="n">
        <f aca="false">COUNTIF(RTM!B5:B19,"Functional")</f>
        <v>4</v>
      </c>
      <c r="C9" s="25" t="n">
        <f aca="false">IFERROR(B9/B5,"—")</f>
        <v>0.333333333333333</v>
      </c>
      <c r="E9" s="26" t="s">
        <v>29</v>
      </c>
      <c r="F9" s="8" t="n">
        <f aca="false">COUNTIF(RTM!K5:K19,"Passed")</f>
        <v>5</v>
      </c>
      <c r="G9" s="27" t="n">
        <f aca="false">IFERROR(F9/B5,"—")</f>
        <v>0.416666666666667</v>
      </c>
    </row>
    <row r="10" customFormat="false" ht="19.5" hidden="false" customHeight="true" outlineLevel="0" collapsed="false">
      <c r="A10" s="28" t="s">
        <v>60</v>
      </c>
      <c r="B10" s="29" t="n">
        <f aca="false">COUNTIF(RTM!B5:B19,"Non-Functional")</f>
        <v>3</v>
      </c>
      <c r="C10" s="30" t="n">
        <f aca="false">IFERROR(B10/B5,"—")</f>
        <v>0.25</v>
      </c>
      <c r="E10" s="31" t="s">
        <v>43</v>
      </c>
      <c r="F10" s="11" t="n">
        <f aca="false">COUNTIF(RTM!K5:K19,"Failed")</f>
        <v>2</v>
      </c>
      <c r="G10" s="32" t="n">
        <f aca="false">IFERROR(F10/B5,"—")</f>
        <v>0.166666666666667</v>
      </c>
    </row>
    <row r="11" customFormat="false" ht="19.5" hidden="false" customHeight="true" outlineLevel="0" collapsed="false">
      <c r="A11" s="26" t="s">
        <v>81</v>
      </c>
      <c r="B11" s="8" t="n">
        <f aca="false">COUNTIF(RTM!B5:B19,"Security")</f>
        <v>3</v>
      </c>
      <c r="C11" s="27" t="n">
        <f aca="false">IFERROR(B11/B5,"—")</f>
        <v>0.25</v>
      </c>
      <c r="E11" s="33" t="s">
        <v>46</v>
      </c>
      <c r="F11" s="7" t="n">
        <f aca="false">COUNTIF(RTM!K5:K19,"In Progress")</f>
        <v>3</v>
      </c>
      <c r="G11" s="34" t="n">
        <f aca="false">IFERROR(F11/B5,"—")</f>
        <v>0.25</v>
      </c>
    </row>
    <row r="12" customFormat="false" ht="19.5" hidden="false" customHeight="true" outlineLevel="0" collapsed="false">
      <c r="A12" s="33" t="s">
        <v>101</v>
      </c>
      <c r="B12" s="7" t="n">
        <f aca="false">COUNTIF(RTM!B5:B19,"UI/UX")</f>
        <v>2</v>
      </c>
      <c r="C12" s="34" t="n">
        <f aca="false">IFERROR(B12/B5,"—")</f>
        <v>0.166666666666667</v>
      </c>
      <c r="E12" s="35" t="s">
        <v>56</v>
      </c>
      <c r="F12" s="12" t="n">
        <f aca="false">COUNTIF(RTM!K5:K19,"Not Run")</f>
        <v>5</v>
      </c>
      <c r="G12" s="36" t="n">
        <f aca="false">IFERROR(F12/B5,"—")</f>
        <v>0.416666666666667</v>
      </c>
    </row>
    <row r="13" customFormat="false" ht="19.5" hidden="false" customHeight="true" outlineLevel="0" collapsed="false">
      <c r="A13" s="31" t="s">
        <v>28</v>
      </c>
      <c r="B13" s="11" t="n">
        <f aca="false">COUNTIF(RTM!B5:B19,"Integration")</f>
        <v>2</v>
      </c>
      <c r="C13" s="32" t="n">
        <f aca="false">IFERROR(B13/B5,"—")</f>
        <v>0.166666666666667</v>
      </c>
    </row>
    <row r="14" customFormat="false" ht="19.5" hidden="false" customHeight="true" outlineLevel="0" collapsed="false">
      <c r="A14" s="37" t="s">
        <v>130</v>
      </c>
      <c r="B14" s="38" t="n">
        <f aca="false">COUNTIF(RTM!B5:B19,"Compliance")</f>
        <v>1</v>
      </c>
      <c r="C14" s="39" t="n">
        <f aca="false">IFERROR(B14/B5,"—")</f>
        <v>0.0833333333333333</v>
      </c>
    </row>
  </sheetData>
  <mergeCells count="4">
    <mergeCell ref="A1:J1"/>
    <mergeCell ref="A2:J2"/>
    <mergeCell ref="A7:C7"/>
    <mergeCell ref="E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30" hidden="false" customHeight="true" outlineLevel="0" collapsed="false">
      <c r="A1" s="40" t="s">
        <v>147</v>
      </c>
      <c r="B1" s="40"/>
      <c r="C1" s="40"/>
      <c r="D1" s="40"/>
    </row>
    <row r="3" customFormat="false" ht="19.5" hidden="false" customHeight="true" outlineLevel="0" collapsed="false">
      <c r="A3" s="22" t="s">
        <v>148</v>
      </c>
      <c r="B3" s="22"/>
      <c r="C3" s="22" t="s">
        <v>149</v>
      </c>
      <c r="D3" s="22"/>
    </row>
    <row r="4" customFormat="false" ht="18" hidden="false" customHeight="true" outlineLevel="0" collapsed="false">
      <c r="A4" s="31" t="s">
        <v>83</v>
      </c>
      <c r="B4" s="41" t="s">
        <v>150</v>
      </c>
      <c r="C4" s="35" t="s">
        <v>151</v>
      </c>
      <c r="D4" s="42" t="s">
        <v>152</v>
      </c>
    </row>
    <row r="5" customFormat="false" ht="18" hidden="false" customHeight="true" outlineLevel="0" collapsed="false">
      <c r="A5" s="33" t="s">
        <v>22</v>
      </c>
      <c r="B5" s="43" t="s">
        <v>153</v>
      </c>
      <c r="C5" s="33" t="s">
        <v>52</v>
      </c>
      <c r="D5" s="43" t="s">
        <v>154</v>
      </c>
    </row>
    <row r="6" customFormat="false" ht="18" hidden="false" customHeight="true" outlineLevel="0" collapsed="false">
      <c r="A6" s="26" t="s">
        <v>62</v>
      </c>
      <c r="B6" s="44" t="s">
        <v>155</v>
      </c>
      <c r="C6" s="26" t="s">
        <v>24</v>
      </c>
      <c r="D6" s="44" t="s">
        <v>156</v>
      </c>
    </row>
    <row r="7" customFormat="false" ht="18" hidden="false" customHeight="true" outlineLevel="0" collapsed="false">
      <c r="A7" s="35" t="s">
        <v>157</v>
      </c>
      <c r="B7" s="42" t="s">
        <v>158</v>
      </c>
      <c r="C7" s="31" t="s">
        <v>159</v>
      </c>
      <c r="D7" s="41" t="s">
        <v>160</v>
      </c>
    </row>
    <row r="10" customFormat="false" ht="19.5" hidden="false" customHeight="true" outlineLevel="0" collapsed="false">
      <c r="A10" s="22" t="s">
        <v>161</v>
      </c>
      <c r="B10" s="22"/>
      <c r="C10" s="22" t="s">
        <v>162</v>
      </c>
      <c r="D10" s="22"/>
    </row>
    <row r="11" customFormat="false" ht="18" hidden="false" customHeight="true" outlineLevel="0" collapsed="false">
      <c r="A11" s="26" t="s">
        <v>29</v>
      </c>
      <c r="B11" s="44" t="s">
        <v>163</v>
      </c>
      <c r="C11" s="26" t="s">
        <v>29</v>
      </c>
      <c r="D11" s="44" t="s">
        <v>164</v>
      </c>
    </row>
    <row r="12" customFormat="false" ht="18" hidden="false" customHeight="true" outlineLevel="0" collapsed="false">
      <c r="A12" s="31" t="s">
        <v>43</v>
      </c>
      <c r="B12" s="41" t="s">
        <v>165</v>
      </c>
      <c r="C12" s="33" t="s">
        <v>46</v>
      </c>
      <c r="D12" s="43" t="s">
        <v>166</v>
      </c>
    </row>
    <row r="13" customFormat="false" ht="18" hidden="false" customHeight="true" outlineLevel="0" collapsed="false">
      <c r="A13" s="33" t="s">
        <v>46</v>
      </c>
      <c r="B13" s="43" t="s">
        <v>167</v>
      </c>
      <c r="C13" s="35" t="s">
        <v>58</v>
      </c>
      <c r="D13" s="42" t="s">
        <v>168</v>
      </c>
    </row>
    <row r="14" customFormat="false" ht="18" hidden="false" customHeight="true" outlineLevel="0" collapsed="false">
      <c r="A14" s="35" t="s">
        <v>56</v>
      </c>
      <c r="B14" s="42" t="s">
        <v>169</v>
      </c>
      <c r="C14" s="31" t="s">
        <v>43</v>
      </c>
      <c r="D14" s="41" t="s">
        <v>170</v>
      </c>
    </row>
    <row r="17" customFormat="false" ht="19.5" hidden="false" customHeight="true" outlineLevel="0" collapsed="false">
      <c r="A17" s="22" t="s">
        <v>171</v>
      </c>
      <c r="B17" s="22"/>
      <c r="C17" s="22"/>
      <c r="D17" s="22"/>
    </row>
    <row r="18" customFormat="false" ht="18" hidden="false" customHeight="true" outlineLevel="0" collapsed="false">
      <c r="A18" s="45" t="s">
        <v>3</v>
      </c>
      <c r="B18" s="6" t="s">
        <v>172</v>
      </c>
      <c r="C18" s="6"/>
      <c r="D18" s="6"/>
    </row>
    <row r="19" customFormat="false" ht="18" hidden="false" customHeight="true" outlineLevel="0" collapsed="false">
      <c r="A19" s="45" t="s">
        <v>4</v>
      </c>
      <c r="B19" s="6" t="s">
        <v>173</v>
      </c>
      <c r="C19" s="6"/>
      <c r="D19" s="6"/>
    </row>
    <row r="20" customFormat="false" ht="18" hidden="false" customHeight="true" outlineLevel="0" collapsed="false">
      <c r="A20" s="45" t="s">
        <v>174</v>
      </c>
      <c r="B20" s="6" t="s">
        <v>175</v>
      </c>
      <c r="C20" s="6"/>
      <c r="D20" s="6"/>
    </row>
    <row r="21" customFormat="false" ht="18" hidden="false" customHeight="true" outlineLevel="0" collapsed="false">
      <c r="A21" s="45" t="s">
        <v>6</v>
      </c>
      <c r="B21" s="6" t="s">
        <v>176</v>
      </c>
      <c r="C21" s="6"/>
      <c r="D21" s="6"/>
    </row>
    <row r="22" customFormat="false" ht="18" hidden="false" customHeight="true" outlineLevel="0" collapsed="false">
      <c r="A22" s="45" t="s">
        <v>7</v>
      </c>
      <c r="B22" s="6" t="s">
        <v>177</v>
      </c>
      <c r="C22" s="6"/>
      <c r="D22" s="6"/>
    </row>
    <row r="23" customFormat="false" ht="18" hidden="false" customHeight="true" outlineLevel="0" collapsed="false">
      <c r="A23" s="45" t="s">
        <v>8</v>
      </c>
      <c r="B23" s="6" t="s">
        <v>178</v>
      </c>
      <c r="C23" s="6"/>
      <c r="D23" s="6"/>
    </row>
    <row r="24" customFormat="false" ht="18" hidden="false" customHeight="true" outlineLevel="0" collapsed="false">
      <c r="A24" s="45" t="s">
        <v>179</v>
      </c>
      <c r="B24" s="6" t="s">
        <v>180</v>
      </c>
      <c r="C24" s="6"/>
      <c r="D24" s="6"/>
    </row>
    <row r="25" customFormat="false" ht="18" hidden="false" customHeight="true" outlineLevel="0" collapsed="false">
      <c r="A25" s="45" t="s">
        <v>181</v>
      </c>
      <c r="B25" s="6" t="s">
        <v>182</v>
      </c>
      <c r="C25" s="6"/>
      <c r="D25" s="6"/>
    </row>
    <row r="26" customFormat="false" ht="18" hidden="false" customHeight="true" outlineLevel="0" collapsed="false">
      <c r="A26" s="45" t="s">
        <v>11</v>
      </c>
      <c r="B26" s="6" t="s">
        <v>183</v>
      </c>
      <c r="C26" s="6"/>
      <c r="D26" s="6"/>
    </row>
    <row r="27" customFormat="false" ht="18" hidden="false" customHeight="true" outlineLevel="0" collapsed="false">
      <c r="A27" s="45" t="s">
        <v>12</v>
      </c>
      <c r="B27" s="6" t="s">
        <v>184</v>
      </c>
      <c r="C27" s="6"/>
      <c r="D27" s="6"/>
    </row>
    <row r="28" customFormat="false" ht="18" hidden="false" customHeight="true" outlineLevel="0" collapsed="false">
      <c r="A28" s="45" t="s">
        <v>13</v>
      </c>
      <c r="B28" s="6" t="s">
        <v>185</v>
      </c>
      <c r="C28" s="6"/>
      <c r="D28" s="6"/>
    </row>
    <row r="29" customFormat="false" ht="18" hidden="false" customHeight="true" outlineLevel="0" collapsed="false">
      <c r="A29" s="45" t="s">
        <v>186</v>
      </c>
      <c r="B29" s="6" t="s">
        <v>187</v>
      </c>
      <c r="C29" s="6"/>
      <c r="D29" s="6"/>
    </row>
    <row r="30" customFormat="false" ht="18" hidden="false" customHeight="true" outlineLevel="0" collapsed="false">
      <c r="A30" s="45" t="s">
        <v>15</v>
      </c>
      <c r="B30" s="6" t="s">
        <v>188</v>
      </c>
      <c r="C30" s="6"/>
      <c r="D30" s="6"/>
    </row>
    <row r="31" customFormat="false" ht="18" hidden="false" customHeight="true" outlineLevel="0" collapsed="false">
      <c r="A31" s="45" t="s">
        <v>16</v>
      </c>
      <c r="B31" s="6" t="s">
        <v>189</v>
      </c>
      <c r="C31" s="6"/>
      <c r="D31" s="6"/>
    </row>
    <row r="32" customFormat="false" ht="18" hidden="false" customHeight="true" outlineLevel="0" collapsed="false">
      <c r="A32" s="45" t="s">
        <v>17</v>
      </c>
      <c r="B32" s="6" t="s">
        <v>190</v>
      </c>
      <c r="C32" s="6"/>
      <c r="D32" s="6"/>
    </row>
    <row r="33" customFormat="false" ht="18" hidden="false" customHeight="true" outlineLevel="0" collapsed="false">
      <c r="A33" s="45" t="s">
        <v>18</v>
      </c>
      <c r="B33" s="6" t="s">
        <v>191</v>
      </c>
      <c r="C33" s="6"/>
      <c r="D33" s="6"/>
    </row>
  </sheetData>
  <mergeCells count="22">
    <mergeCell ref="A1:D1"/>
    <mergeCell ref="A3:B3"/>
    <mergeCell ref="C3:D3"/>
    <mergeCell ref="A10:B10"/>
    <mergeCell ref="C10:D10"/>
    <mergeCell ref="A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2026-04-03T05:33:23Z</dcterms:created>
  <dc:creator>openpyxl</dc:creator>
  <dc:description/>
  <dc:language>en-US</dc:language>
  <cp:lastModifiedBy/>
  <dcterms:modified xsi:type="dcterms:W3CDTF">2026-04-03T05:33:23Z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