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Page" sheetId="1" state="visible" r:id="rId3"/>
    <sheet name="Test Plan Overview" sheetId="2" state="visible" r:id="rId4"/>
    <sheet name="Schedule &amp; Resources" sheetId="3" state="visible" r:id="rId5"/>
    <sheet name="Test Cases" sheetId="4" state="visible" r:id="rId6"/>
    <sheet name="Defect Log" sheetId="5" state="visible" r:id="rId7"/>
    <sheet name="Metrics Dashboard" sheetId="6" state="visible" r:id="rId8"/>
    <sheet name="Test Summary Repor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<sst xmlns="http://schemas.openxmlformats.org/spreadsheetml/2006/main" count="516" uniqueCount="349">
  <si>
    <t xml:space="preserve">SOFTWARE TEST PLAN</t>
  </si>
  <si>
    <t xml:space="preserve">Comprehensive Test Planning Template — IEEE 829 Aligned</t>
  </si>
  <si>
    <t xml:space="preserve">Project Name:</t>
  </si>
  <si>
    <t xml:space="preserve">Confidentiality:</t>
  </si>
  <si>
    <t xml:space="preserve">Internal</t>
  </si>
  <si>
    <t xml:space="preserve">Application / System:</t>
  </si>
  <si>
    <t xml:space="preserve">Document Type:</t>
  </si>
  <si>
    <t xml:space="preserve">Test Plan</t>
  </si>
  <si>
    <t xml:space="preserve">Version:</t>
  </si>
  <si>
    <t xml:space="preserve">Phase:</t>
  </si>
  <si>
    <t xml:space="preserve">Test Plan ID:</t>
  </si>
  <si>
    <t xml:space="preserve">TP-001</t>
  </si>
  <si>
    <t xml:space="preserve">Release / Sprint:</t>
  </si>
  <si>
    <t xml:space="preserve">Prepared By:</t>
  </si>
  <si>
    <t xml:space="preserve">Environment:</t>
  </si>
  <si>
    <t xml:space="preserve">Reviewed By:</t>
  </si>
  <si>
    <t xml:space="preserve">QA Lead:</t>
  </si>
  <si>
    <t xml:space="preserve">Approved By:</t>
  </si>
  <si>
    <t xml:space="preserve">Dev Lead:</t>
  </si>
  <si>
    <t xml:space="preserve">Date Created:</t>
  </si>
  <si>
    <t xml:space="preserve">Product Owner:</t>
  </si>
  <si>
    <t xml:space="preserve">Last Updated:</t>
  </si>
  <si>
    <t xml:space="preserve">Stakeholders:</t>
  </si>
  <si>
    <t xml:space="preserve">Status:</t>
  </si>
  <si>
    <t xml:space="preserve">Draft</t>
  </si>
  <si>
    <t xml:space="preserve">Review Deadline:</t>
  </si>
  <si>
    <t xml:space="preserve">▸  REVISION HISTORY</t>
  </si>
  <si>
    <t xml:space="preserve">Version</t>
  </si>
  <si>
    <t xml:space="preserve">Date</t>
  </si>
  <si>
    <t xml:space="preserve">Author</t>
  </si>
  <si>
    <t xml:space="preserve">Change Description</t>
  </si>
  <si>
    <t xml:space="preserve">Reviewed By</t>
  </si>
  <si>
    <t xml:space="preserve">Approved By</t>
  </si>
  <si>
    <t xml:space="preserve">Status</t>
  </si>
  <si>
    <t xml:space="preserve">Notes</t>
  </si>
  <si>
    <t xml:space="preserve">1.0</t>
  </si>
  <si>
    <t xml:space="preserve">Initial draft created</t>
  </si>
  <si>
    <t xml:space="preserve">1.1</t>
  </si>
  <si>
    <t xml:space="preserve">Updated scope and test cases</t>
  </si>
  <si>
    <t xml:space="preserve">In Review</t>
  </si>
  <si>
    <t xml:space="preserve">2.0</t>
  </si>
  <si>
    <t xml:space="preserve">Final version after UAT sign-off</t>
  </si>
  <si>
    <t xml:space="preserve">Approved</t>
  </si>
  <si>
    <t xml:space="preserve">▸  SIGN-OFF</t>
  </si>
  <si>
    <t xml:space="preserve">Role</t>
  </si>
  <si>
    <t xml:space="preserve">Name</t>
  </si>
  <si>
    <t xml:space="preserve">Signature</t>
  </si>
  <si>
    <t xml:space="preserve">Comments</t>
  </si>
  <si>
    <t xml:space="preserve">QA Lead</t>
  </si>
  <si>
    <t xml:space="preserve">Project Manager</t>
  </si>
  <si>
    <t xml:space="preserve">Product Owner</t>
  </si>
  <si>
    <t xml:space="preserve">Development Lead</t>
  </si>
  <si>
    <t xml:space="preserve">Client Representative</t>
  </si>
  <si>
    <t xml:space="preserve">TEST PLAN OVERVIEW</t>
  </si>
  <si>
    <t xml:space="preserve">▸  1. INTRODUCTION &amp; PURPOSE</t>
  </si>
  <si>
    <t xml:space="preserve">This Test Plan defines the strategy, scope, resources, schedule, and approach for testing [Project Name]. It establishes the framework within which testing will be planned and performed to ensure the delivered software meets all specified requirements.</t>
  </si>
  <si>
    <t xml:space="preserve">▸  2. TEST OBJECTIVES</t>
  </si>
  <si>
    <t xml:space="preserve">• Verify all functional requirements are correctly implemented.
• Validate non-functional requirements (performance, security, usability).
• Identify and document defects before production release.
• Ensure system stability across supported platforms and environments.
• Provide confidence to stakeholders that the product is release-ready.</t>
  </si>
  <si>
    <t xml:space="preserve">▸  3. SCOPE — IN SCOPE</t>
  </si>
  <si>
    <t xml:space="preserve">• Functional testing of all modules listed in the BRD/SRS.
• Integration testing between system components.
• Regression testing after each bug fix.
• Performance and load testing for critical endpoints.
• Security testing (authentication, authorization, data protection).
• UAT support and defect triage.</t>
  </si>
  <si>
    <t xml:space="preserve">▸  4. SCOPE — OUT OF SCOPE</t>
  </si>
  <si>
    <t xml:space="preserve">• Third-party service internal logic (payment gateways, SMS providers).
• Infrastructure provisioning and cloud deployment pipelines.
• Data migration scripts (covered by separate Data Migration Test Plan).
• Hardware compatibility testing beyond specified device matrix.</t>
  </si>
  <si>
    <t xml:space="preserve">▸  5. TEST APPROACH &amp; STRATEGY</t>
  </si>
  <si>
    <t xml:space="preserve">Testing will follow an Agile iterative approach aligned to sprint cycles. Unit tests are owned by developers; QA owns integration, system, regression, and UAT coordination. Automation will be applied to regression suites using [Tool]. Manual testing covers exploratory, UX, and ad-hoc scenarios. Risk-based testing prioritizes critical and high-priority requirements.</t>
  </si>
  <si>
    <t xml:space="preserve">▸  6. ASSUMPTIONS &amp; DEPENDENCIES</t>
  </si>
  <si>
    <t xml:space="preserve">• Test environments will be provisioned and stable before sprint testing begins.
• Requirements and design documents are baselined before test case authoring.
• Development team provides deployment builds by the agreed cut-off time.
• Access credentials and test data will be provided by the Dev team.
• Defects will be triaged within 24 hours of reporting.</t>
  </si>
  <si>
    <t xml:space="preserve">▸  7. RISKS &amp; MITIGATION</t>
  </si>
  <si>
    <t xml:space="preserve">Risk 1: Late requirement changes → Mitigation: Change freeze 1 week before testing.
Risk 2: Unstable test environment → Mitigation: Dedicated QA environment with daily health check.
Risk 3: Resource unavailability → Mitigation: Cross-trained backup QA resource identified.
Risk 4: Scope creep → Mitigation: Formal change request process enforced.</t>
  </si>
  <si>
    <t xml:space="preserve">▸  8. ENTRY &amp; EXIT CRITERIA</t>
  </si>
  <si>
    <t xml:space="preserve">ENTRY: All test cases reviewed and approved; test environment deployed; build smoke test passed; test data prepared.
EXIT: 100% of High/Critical test cases executed; 0 open Critical defects; 0 open High defects; UAT sign-off received; test summary report approved.</t>
  </si>
  <si>
    <t xml:space="preserve">TEST SCHEDULE &amp; RESOURCE PLAN</t>
  </si>
  <si>
    <t xml:space="preserve">▸  KEY TESTING MILESTONES</t>
  </si>
  <si>
    <t xml:space="preserve">Milestone</t>
  </si>
  <si>
    <t xml:space="preserve">Phase</t>
  </si>
  <si>
    <t xml:space="preserve">Planned Start</t>
  </si>
  <si>
    <t xml:space="preserve">Planned End</t>
  </si>
  <si>
    <t xml:space="preserve">Actual Start</t>
  </si>
  <si>
    <t xml:space="preserve">Actual End</t>
  </si>
  <si>
    <t xml:space="preserve">Owner</t>
  </si>
  <si>
    <t xml:space="preserve">% Complete</t>
  </si>
  <si>
    <t xml:space="preserve">Test Plan Created &amp; Approved</t>
  </si>
  <si>
    <t xml:space="preserve">Planning</t>
  </si>
  <si>
    <t xml:space="preserve">Completed</t>
  </si>
  <si>
    <t xml:space="preserve">100%</t>
  </si>
  <si>
    <t xml:space="preserve">Test Cases Authored &amp; Reviewed</t>
  </si>
  <si>
    <t xml:space="preserve">QA Team</t>
  </si>
  <si>
    <t xml:space="preserve">In Progress</t>
  </si>
  <si>
    <t xml:space="preserve">75%</t>
  </si>
  <si>
    <t xml:space="preserve">Test Environment Setup</t>
  </si>
  <si>
    <t xml:space="preserve">Setup</t>
  </si>
  <si>
    <t xml:space="preserve">DevOps</t>
  </si>
  <si>
    <t xml:space="preserve">Pending</t>
  </si>
  <si>
    <t xml:space="preserve">0%</t>
  </si>
  <si>
    <t xml:space="preserve">Test Data Preparation</t>
  </si>
  <si>
    <t xml:space="preserve">Smoke / Sanity Testing</t>
  </si>
  <si>
    <t xml:space="preserve">Sprint 1</t>
  </si>
  <si>
    <t xml:space="preserve">Not Started</t>
  </si>
  <si>
    <t xml:space="preserve">Functional Testing — Sprint 1</t>
  </si>
  <si>
    <t xml:space="preserve">Integration Testing</t>
  </si>
  <si>
    <t xml:space="preserve">Sprint 2</t>
  </si>
  <si>
    <t xml:space="preserve">Regression Testing</t>
  </si>
  <si>
    <t xml:space="preserve">Performance Testing</t>
  </si>
  <si>
    <t xml:space="preserve">Sprint 3</t>
  </si>
  <si>
    <t xml:space="preserve">Perf Engr</t>
  </si>
  <si>
    <t xml:space="preserve">Security Testing</t>
  </si>
  <si>
    <t xml:space="preserve">Sec Engr</t>
  </si>
  <si>
    <t xml:space="preserve">UAT Execution</t>
  </si>
  <si>
    <t xml:space="preserve">UAT</t>
  </si>
  <si>
    <t xml:space="preserve">Defect Closure &amp; Sign-off</t>
  </si>
  <si>
    <t xml:space="preserve">Closure</t>
  </si>
  <si>
    <t xml:space="preserve">Test Summary Report</t>
  </si>
  <si>
    <t xml:space="preserve">▸  RESOURCE PLAN</t>
  </si>
  <si>
    <t xml:space="preserve">Resource Name</t>
  </si>
  <si>
    <t xml:space="preserve">Skills / Tools</t>
  </si>
  <si>
    <t xml:space="preserve">Allocation %</t>
  </si>
  <si>
    <t xml:space="preserve">Phases Involved</t>
  </si>
  <si>
    <t xml:space="preserve">Start Date</t>
  </si>
  <si>
    <t xml:space="preserve">End Date</t>
  </si>
  <si>
    <t xml:space="preserve">Test Management, JIRA, Postman, Selenium</t>
  </si>
  <si>
    <t xml:space="preserve">All phases</t>
  </si>
  <si>
    <t xml:space="preserve">QA Engineer 1</t>
  </si>
  <si>
    <t xml:space="preserve">Manual Testing, JIRA, Postman</t>
  </si>
  <si>
    <t xml:space="preserve">Sprint 1-3, UAT</t>
  </si>
  <si>
    <t xml:space="preserve">QA Engineer 2</t>
  </si>
  <si>
    <t xml:space="preserve">Automation, Cypress / Playwright</t>
  </si>
  <si>
    <t xml:space="preserve">Sprint 2-3, Regression</t>
  </si>
  <si>
    <t xml:space="preserve">Perf Engineer</t>
  </si>
  <si>
    <t xml:space="preserve">JMeter / k6, Grafana</t>
  </si>
  <si>
    <t xml:space="preserve">50%</t>
  </si>
  <si>
    <t xml:space="preserve">Security Engr</t>
  </si>
  <si>
    <t xml:space="preserve">OWASP ZAP, Burp Suite</t>
  </si>
  <si>
    <t xml:space="preserve">25%</t>
  </si>
  <si>
    <t xml:space="preserve">Business Analyst</t>
  </si>
  <si>
    <t xml:space="preserve">Requirements, UAT coordination</t>
  </si>
  <si>
    <t xml:space="preserve">Planning, UAT</t>
  </si>
  <si>
    <t xml:space="preserve">Dev Lead</t>
  </si>
  <si>
    <t xml:space="preserve">Code review, defect fixes</t>
  </si>
  <si>
    <t xml:space="preserve">20%</t>
  </si>
  <si>
    <t xml:space="preserve">▸  TEST ENVIRONMENT MATRIX</t>
  </si>
  <si>
    <t xml:space="preserve">Environment</t>
  </si>
  <si>
    <t xml:space="preserve">Purpose</t>
  </si>
  <si>
    <t xml:space="preserve">URL / Host</t>
  </si>
  <si>
    <t xml:space="preserve">OS</t>
  </si>
  <si>
    <t xml:space="preserve">Browser / Client</t>
  </si>
  <si>
    <t xml:space="preserve">DB Version</t>
  </si>
  <si>
    <t xml:space="preserve">Deployed By</t>
  </si>
  <si>
    <t xml:space="preserve">Refresh Frequency</t>
  </si>
  <si>
    <t xml:space="preserve">DEV</t>
  </si>
  <si>
    <t xml:space="preserve">Unit/Dev testing</t>
  </si>
  <si>
    <t xml:space="preserve">dev.app.internal</t>
  </si>
  <si>
    <t xml:space="preserve">Ubuntu 22</t>
  </si>
  <si>
    <t xml:space="preserve">Chrome latest</t>
  </si>
  <si>
    <t xml:space="preserve">PG 15</t>
  </si>
  <si>
    <t xml:space="preserve">On each commit</t>
  </si>
  <si>
    <t xml:space="preserve">Active</t>
  </si>
  <si>
    <t xml:space="preserve">QA</t>
  </si>
  <si>
    <t xml:space="preserve">Functional/Integration</t>
  </si>
  <si>
    <t xml:space="preserve">qa.app.internal</t>
  </si>
  <si>
    <t xml:space="preserve">Chrome + Firefox</t>
  </si>
  <si>
    <t xml:space="preserve">Daily build</t>
  </si>
  <si>
    <t xml:space="preserve">STAGING</t>
  </si>
  <si>
    <t xml:space="preserve">Regression/UAT</t>
  </si>
  <si>
    <t xml:space="preserve">staging.app.internal</t>
  </si>
  <si>
    <t xml:space="preserve">All browsers</t>
  </si>
  <si>
    <t xml:space="preserve">Sprint release</t>
  </si>
  <si>
    <t xml:space="preserve">PERF</t>
  </si>
  <si>
    <t xml:space="preserve">Performance/Load testing</t>
  </si>
  <si>
    <t xml:space="preserve">perf.app.internal</t>
  </si>
  <si>
    <t xml:space="preserve">Headless Chrome</t>
  </si>
  <si>
    <t xml:space="preserve">On demand</t>
  </si>
  <si>
    <t xml:space="preserve">PROD</t>
  </si>
  <si>
    <t xml:space="preserve">Production — do NOT test</t>
  </si>
  <si>
    <t xml:space="preserve">app.company.com</t>
  </si>
  <si>
    <t xml:space="preserve">N/A</t>
  </si>
  <si>
    <t xml:space="preserve">Live</t>
  </si>
  <si>
    <t xml:space="preserve">Read-only</t>
  </si>
  <si>
    <t xml:space="preserve">TEST CASE REPOSITORY</t>
  </si>
  <si>
    <t xml:space="preserve">▸  All test cases are tracked here. Link to RTM via REQ ID.</t>
  </si>
  <si>
    <t xml:space="preserve">TC ID</t>
  </si>
  <si>
    <t xml:space="preserve">REQ ID</t>
  </si>
  <si>
    <t xml:space="preserve">Module</t>
  </si>
  <si>
    <t xml:space="preserve">Test Case Title</t>
  </si>
  <si>
    <t xml:space="preserve">Test Type</t>
  </si>
  <si>
    <t xml:space="preserve">Priority</t>
  </si>
  <si>
    <t xml:space="preserve">Preconditions</t>
  </si>
  <si>
    <t xml:space="preserve">Test Steps</t>
  </si>
  <si>
    <t xml:space="preserve">Expected Result</t>
  </si>
  <si>
    <t xml:space="preserve">Actual Result</t>
  </si>
  <si>
    <t xml:space="preserve">Pass/Fail</t>
  </si>
  <si>
    <t xml:space="preserve">Executed By</t>
  </si>
  <si>
    <t xml:space="preserve">Exec Date</t>
  </si>
  <si>
    <t xml:space="preserve">Defect ID</t>
  </si>
  <si>
    <t xml:space="preserve">TC-001</t>
  </si>
  <si>
    <t xml:space="preserve">REQ-001</t>
  </si>
  <si>
    <t xml:space="preserve">Auth</t>
  </si>
  <si>
    <t xml:space="preserve">User Registration — Valid Email &amp; Password</t>
  </si>
  <si>
    <t xml:space="preserve">Functional</t>
  </si>
  <si>
    <t xml:space="preserve">High</t>
  </si>
  <si>
    <t xml:space="preserve">App is running; user is not registered</t>
  </si>
  <si>
    <t xml:space="preserve">1. Navigate to /register
2. Enter valid email
3. Enter strong password
4. Click Register</t>
  </si>
  <si>
    <t xml:space="preserve">Account created; confirmation email sent</t>
  </si>
  <si>
    <t xml:space="preserve">Passed</t>
  </si>
  <si>
    <t xml:space="preserve">Pass</t>
  </si>
  <si>
    <t xml:space="preserve">TC-002</t>
  </si>
  <si>
    <t xml:space="preserve">User Registration — Duplicate Email</t>
  </si>
  <si>
    <t xml:space="preserve">Existing account with same email</t>
  </si>
  <si>
    <t xml:space="preserve">1. Navigate to /register
2. Enter duplicate email
3. Submit</t>
  </si>
  <si>
    <t xml:space="preserve">Error: 'Email already in use'</t>
  </si>
  <si>
    <t xml:space="preserve">TC-003</t>
  </si>
  <si>
    <t xml:space="preserve">User Registration — Invalid Email Format</t>
  </si>
  <si>
    <t xml:space="preserve">Medium</t>
  </si>
  <si>
    <t xml:space="preserve">None</t>
  </si>
  <si>
    <t xml:space="preserve">1. Enter invalid email (e.g., user@)
2. Submit form</t>
  </si>
  <si>
    <t xml:space="preserve">Inline validation error displayed immediately</t>
  </si>
  <si>
    <t xml:space="preserve">TC-004</t>
  </si>
  <si>
    <t xml:space="preserve">REQ-002</t>
  </si>
  <si>
    <t xml:space="preserve">Email Verification Link Sent</t>
  </si>
  <si>
    <t xml:space="preserve">New account registered</t>
  </si>
  <si>
    <t xml:space="preserve">1. Complete registration
2. Check email inbox</t>
  </si>
  <si>
    <t xml:space="preserve">Verification email received within 2 minutes</t>
  </si>
  <si>
    <t xml:space="preserve">TC-005</t>
  </si>
  <si>
    <t xml:space="preserve">REQ-003</t>
  </si>
  <si>
    <t xml:space="preserve">Password Reset — Valid Token</t>
  </si>
  <si>
    <t xml:space="preserve">Registered user, valid token</t>
  </si>
  <si>
    <t xml:space="preserve">1. Click Forgot Password
2. Enter email
3. Open link in email
4. Enter new password</t>
  </si>
  <si>
    <t xml:space="preserve">Password changed; redirect to login</t>
  </si>
  <si>
    <t xml:space="preserve">Failed</t>
  </si>
  <si>
    <t xml:space="preserve">Fail</t>
  </si>
  <si>
    <t xml:space="preserve">DEF-007</t>
  </si>
  <si>
    <t xml:space="preserve">TC-006</t>
  </si>
  <si>
    <t xml:space="preserve">REQ-008</t>
  </si>
  <si>
    <t xml:space="preserve">Password Hashing — bcrypt Verification</t>
  </si>
  <si>
    <t xml:space="preserve">Security</t>
  </si>
  <si>
    <t xml:space="preserve">Critical</t>
  </si>
  <si>
    <t xml:space="preserve">DB access available</t>
  </si>
  <si>
    <t xml:space="preserve">1. Register user
2. Query DB password column</t>
  </si>
  <si>
    <t xml:space="preserve">Password is bcrypt hash (starts with $2b$12$)</t>
  </si>
  <si>
    <t xml:space="preserve">TC-007</t>
  </si>
  <si>
    <t xml:space="preserve">REQ-009</t>
  </si>
  <si>
    <t xml:space="preserve">Infra</t>
  </si>
  <si>
    <t xml:space="preserve">HTTPS Enforcement on All Endpoints</t>
  </si>
  <si>
    <t xml:space="preserve">SSL cert configured</t>
  </si>
  <si>
    <t xml:space="preserve">1. Access any endpoint via HTTP
2. Observe redirect</t>
  </si>
  <si>
    <t xml:space="preserve">301/302 redirect to HTTPS; TLS 1.2+ negotiated</t>
  </si>
  <si>
    <t xml:space="preserve">TC-008</t>
  </si>
  <si>
    <t xml:space="preserve">REQ-005</t>
  </si>
  <si>
    <t xml:space="preserve">Load Test — 1000 Concurrent Users</t>
  </si>
  <si>
    <t xml:space="preserve">Performance</t>
  </si>
  <si>
    <t xml:space="preserve">Perf environment up, JMeter script ready</t>
  </si>
  <si>
    <t xml:space="preserve">1. Run JMeter plan with 1000 threads
2. Monitor response times</t>
  </si>
  <si>
    <t xml:space="preserve">95th percentile response &lt; 1s; 0 errors</t>
  </si>
  <si>
    <t xml:space="preserve">TC-009</t>
  </si>
  <si>
    <t xml:space="preserve">REQ-011</t>
  </si>
  <si>
    <t xml:space="preserve">Dashboard</t>
  </si>
  <si>
    <t xml:space="preserve">Dashboard Metrics Visible Without Scrolling</t>
  </si>
  <si>
    <t xml:space="preserve">UI</t>
  </si>
  <si>
    <t xml:space="preserve">User logged in; 1080p resolution</t>
  </si>
  <si>
    <t xml:space="preserve">1. Log in
2. Navigate to dashboard
3. Observe screen</t>
  </si>
  <si>
    <t xml:space="preserve">All KPI cards visible without vertical scroll</t>
  </si>
  <si>
    <t xml:space="preserve">Not Run</t>
  </si>
  <si>
    <t xml:space="preserve">TC-010</t>
  </si>
  <si>
    <t xml:space="preserve">REQ-013</t>
  </si>
  <si>
    <t xml:space="preserve">Payments</t>
  </si>
  <si>
    <t xml:space="preserve">Stripe Payment — Successful Charge</t>
  </si>
  <si>
    <t xml:space="preserve">Integration</t>
  </si>
  <si>
    <t xml:space="preserve">Stripe test keys configured</t>
  </si>
  <si>
    <t xml:space="preserve">1. Add item to cart
2. Enter test card 4242 4242 4242 4242
3. Submit</t>
  </si>
  <si>
    <t xml:space="preserve">Payment confirmed; order created; webhook received</t>
  </si>
  <si>
    <t xml:space="preserve">TC-011</t>
  </si>
  <si>
    <t xml:space="preserve">REQ-014</t>
  </si>
  <si>
    <t xml:space="preserve">Notifications</t>
  </si>
  <si>
    <t xml:space="preserve">SendGrid — Transactional Email Delivery</t>
  </si>
  <si>
    <t xml:space="preserve">SendGrid API key set</t>
  </si>
  <si>
    <t xml:space="preserve">1. Trigger order confirmation
2. Check inbox</t>
  </si>
  <si>
    <t xml:space="preserve">Email received within 60 seconds</t>
  </si>
  <si>
    <t xml:space="preserve">TC-012</t>
  </si>
  <si>
    <t xml:space="preserve">REQ-015</t>
  </si>
  <si>
    <t xml:space="preserve">User Mgmt</t>
  </si>
  <si>
    <t xml:space="preserve">GDPR — Data Export Request</t>
  </si>
  <si>
    <t xml:space="preserve">Compliance</t>
  </si>
  <si>
    <t xml:space="preserve">Logged-in user with data</t>
  </si>
  <si>
    <t xml:space="preserve">1. Go to Privacy Settings
2. Request data export
3. Await email</t>
  </si>
  <si>
    <t xml:space="preserve">ZIP file emailed within 72 hours; includes all user data</t>
  </si>
  <si>
    <t xml:space="preserve">DEFECT LOG</t>
  </si>
  <si>
    <t xml:space="preserve">▸  Log all defects here. Link to Test Case and Requirement IDs.</t>
  </si>
  <si>
    <t xml:space="preserve">Title</t>
  </si>
  <si>
    <t xml:space="preserve">Severity</t>
  </si>
  <si>
    <t xml:space="preserve">Reported By</t>
  </si>
  <si>
    <t xml:space="preserve">Reported Date</t>
  </si>
  <si>
    <t xml:space="preserve">Assigned To</t>
  </si>
  <si>
    <t xml:space="preserve">Target Fix Date</t>
  </si>
  <si>
    <t xml:space="preserve">Fixed Date</t>
  </si>
  <si>
    <t xml:space="preserve">Root Cause</t>
  </si>
  <si>
    <t xml:space="preserve">Remarks</t>
  </si>
  <si>
    <t xml:space="preserve">DEF-001</t>
  </si>
  <si>
    <t xml:space="preserve">Password reset token not expiring after use</t>
  </si>
  <si>
    <t xml:space="preserve">Open</t>
  </si>
  <si>
    <t xml:space="preserve">QA Eng 1</t>
  </si>
  <si>
    <t xml:space="preserve">Logic error in token invalidation</t>
  </si>
  <si>
    <t xml:space="preserve">Reproduces 100%</t>
  </si>
  <si>
    <t xml:space="preserve">DEF-002</t>
  </si>
  <si>
    <t xml:space="preserve">Response time spikes to 4s under 800 concurrent users</t>
  </si>
  <si>
    <t xml:space="preserve">Backend Dev</t>
  </si>
  <si>
    <t xml:space="preserve">DB query missing index</t>
  </si>
  <si>
    <t xml:space="preserve">Index added in PR #88</t>
  </si>
  <si>
    <t xml:space="preserve">DEF-003</t>
  </si>
  <si>
    <t xml:space="preserve">Dashboard KPI card overlaps on 1080p in Firefox</t>
  </si>
  <si>
    <t xml:space="preserve">QA Eng 2</t>
  </si>
  <si>
    <t xml:space="preserve">Frontend Dev</t>
  </si>
  <si>
    <t xml:space="preserve">CSS flex overflow bug</t>
  </si>
  <si>
    <t xml:space="preserve">Only on Firefox 121+</t>
  </si>
  <si>
    <t xml:space="preserve">DEF-004</t>
  </si>
  <si>
    <t xml:space="preserve">Stripe webhook not received on local dev tunnel</t>
  </si>
  <si>
    <t xml:space="preserve">Closed</t>
  </si>
  <si>
    <t xml:space="preserve">ngrok tunnel timeout</t>
  </si>
  <si>
    <t xml:space="preserve">Fixed by increasing webhook timeout</t>
  </si>
  <si>
    <t xml:space="preserve">DEF-005</t>
  </si>
  <si>
    <t xml:space="preserve">GDPR export missing address field in ZIP</t>
  </si>
  <si>
    <t xml:space="preserve">Serializer excludes address</t>
  </si>
  <si>
    <t xml:space="preserve">Blocked — awaiting DB schema update</t>
  </si>
  <si>
    <t xml:space="preserve">TEST METRICS DASHBOARD</t>
  </si>
  <si>
    <t xml:space="preserve">Auto-calculated from Test Cases and Defect Log sheets</t>
  </si>
  <si>
    <t xml:space="preserve">Total Test Cases</t>
  </si>
  <si>
    <t xml:space="preserve">Total Defects</t>
  </si>
  <si>
    <t xml:space="preserve">Open Defects</t>
  </si>
  <si>
    <t xml:space="preserve">Critical Defects</t>
  </si>
  <si>
    <t xml:space="preserve">Closed Defects</t>
  </si>
  <si>
    <t xml:space="preserve">Pass Rate %</t>
  </si>
  <si>
    <t xml:space="preserve">▸  Test Cases by Test Type</t>
  </si>
  <si>
    <t xml:space="preserve">Total</t>
  </si>
  <si>
    <t xml:space="preserve">▸  Defects by Severity &amp; Status</t>
  </si>
  <si>
    <t xml:space="preserve">Low</t>
  </si>
  <si>
    <t xml:space="preserve">TEST SUMMARY REPORT</t>
  </si>
  <si>
    <t xml:space="preserve">▸  EXECUTIVE SUMMARY</t>
  </si>
  <si>
    <t xml:space="preserve">Provide a 3-5 sentence executive summary of the overall test cycle. Include what was tested, key outcomes, go/no-go recommendation, and any critical open risks.</t>
  </si>
  <si>
    <t xml:space="preserve">▸  TEST EXECUTION SUMMARY</t>
  </si>
  <si>
    <t xml:space="preserve">Sprint/Cycle: ___   |   Test Period: ___ to ___
Total TCs: ___   Executed: ___   Passed: ___   Failed: ___   Blocked: ___   Not Run: ___
Pass Rate: ___%   |   Defect Detection Efficiency: ___%</t>
  </si>
  <si>
    <t xml:space="preserve">▸  DEFECT SUMMARY</t>
  </si>
  <si>
    <t xml:space="preserve">Total Defects Raised: ___
Critical: ___   High: ___   Medium: ___   Low: ___
Open: ___   In Progress: ___   Closed: ___   Deferred: ___
Defect Removal Efficiency (DRE): ___%</t>
  </si>
  <si>
    <t xml:space="preserve">▸  KEY FINDINGS &amp; OBSERVATIONS</t>
  </si>
  <si>
    <t xml:space="preserve">1. [Finding 1 — e.g., Auth module 100% pass rate; production-ready]
2. [Finding 2 — e.g., Performance degrades above 800 users; mitigation planned]
3. [Finding 3 — e.g., GDPR export feature incomplete; deferred to v1.1]
4. [Additional findings as needed]</t>
  </si>
  <si>
    <t xml:space="preserve">▸  RISKS CARRIED FORWARD</t>
  </si>
  <si>
    <t xml:space="preserve">Risk 1: [Description] — Severity: [High/Med/Low] — Owner: [Name] — Plan: [Mitigation]
Risk 2: [Description] — Severity: [High/Med/Low] — Owner: [Name] — Plan: [Mitigation]</t>
  </si>
  <si>
    <t xml:space="preserve">▸  RECOMMENDATIONS</t>
  </si>
  <si>
    <t xml:space="preserve">1. [Recommendation 1 — e.g., Do not release until DEF-005 GDPR defect is resolved]
2. [Recommendation 2 — e.g., Schedule performance optimization sprint before scaling]
3. [Recommendation 3 — e.g., Add automated regression suite for Auth module]</t>
  </si>
  <si>
    <t xml:space="preserve">▸  GO / NO-GO RECOMMENDATION</t>
  </si>
  <si>
    <t xml:space="preserve">☐ GO — Product meets all exit criteria. Approved for release.
☐ CONDITIONAL GO — Product released with known issues; risk accepted by stakeholders.
☐ NO-GO — Critical defects unresolved. Release not recommended.</t>
  </si>
  <si>
    <t xml:space="preserve">▸  LESSONS LEARNED</t>
  </si>
  <si>
    <t xml:space="preserve">What went well:
• [Item 1]
• [Item 2]
What to improve:
• [Item 1]
• [Item 2]
Actions for next cycle:
• [Action 1] — Owner: ___ — Due: ___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</si>
</sst>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CCDDEE"/>
      <name val="Arial"/>
      <family val="0"/>
      <charset val="1"/>
    </font>
    <font>
      <b val="true"/>
      <sz val="9"/>
      <color rgb="FF0D3B4E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CCDDEE"/>
      <name val="Arial"/>
      <family val="0"/>
      <charset val="1"/>
    </font>
    <font>
      <b val="true"/>
      <sz val="18"/>
      <color rgb="FF0D3B4E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D3B4E"/>
        <bgColor rgb="FF333333"/>
      </patternFill>
    </fill>
    <fill>
      <patternFill patternType="solid">
        <fgColor rgb="FF1A6B8A"/>
        <bgColor rgb="FF008080"/>
      </patternFill>
    </fill>
    <fill>
      <patternFill patternType="solid">
        <fgColor rgb="FFC5E4EF"/>
        <bgColor rgb="FFCCDDEE"/>
      </patternFill>
    </fill>
    <fill>
      <patternFill patternType="solid">
        <fgColor rgb="FFFFFFFF"/>
        <bgColor rgb="FFF5F5F5"/>
      </patternFill>
    </fill>
    <fill>
      <patternFill patternType="solid">
        <fgColor rgb="FFEAF6FA"/>
        <bgColor rgb="FFF5F5F5"/>
      </patternFill>
    </fill>
    <fill>
      <patternFill patternType="solid">
        <fgColor rgb="FFE2EFDA"/>
        <bgColor rgb="FFEAF6FA"/>
      </patternFill>
    </fill>
    <fill>
      <patternFill patternType="solid">
        <fgColor rgb="FFFFF2CC"/>
        <bgColor rgb="FFFCE9D9"/>
      </patternFill>
    </fill>
    <fill>
      <patternFill patternType="solid">
        <fgColor rgb="FFF5F5F5"/>
        <bgColor rgb="FFEAF6FA"/>
      </patternFill>
    </fill>
    <fill>
      <patternFill patternType="solid">
        <fgColor rgb="FF2196A6"/>
        <bgColor rgb="FF008080"/>
      </patternFill>
    </fill>
    <fill>
      <patternFill patternType="solid">
        <fgColor rgb="FFFCE4D6"/>
        <bgColor rgb="FFFCE9D9"/>
      </patternFill>
    </fill>
    <fill>
      <patternFill patternType="solid">
        <fgColor rgb="FFFCE9D9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CDD8"/>
      </left>
      <right style="thin">
        <color rgb="FFB0CDD8"/>
      </right>
      <top style="thin">
        <color rgb="FFB0CDD8"/>
      </top>
      <bottom style="thin">
        <color rgb="FFB0CDD8"/>
      </bottom>
      <diagonal/>
    </border>
    <border diagonalUp="false" diagonalDown="false">
      <left style="thin">
        <color rgb="FFB0CDD8"/>
      </left>
      <right/>
      <top style="thin">
        <color rgb="FFB0CDD8"/>
      </top>
      <bottom style="thin">
        <color rgb="FFB0CD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6B8A"/>
      <rgbColor rgb="FFB0CDD8"/>
      <rgbColor rgb="FF808080"/>
      <rgbColor rgb="FF9999FF"/>
      <rgbColor rgb="FF993366"/>
      <rgbColor rgb="FFFFF2CC"/>
      <rgbColor rgb="FFEAF6FA"/>
      <rgbColor rgb="FF660066"/>
      <rgbColor rgb="FFFF8080"/>
      <rgbColor rgb="FF0066CC"/>
      <rgbColor rgb="FFCCDD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5E4EF"/>
      <rgbColor rgb="FFE2EFDA"/>
      <rgbColor rgb="FFFCE9D9"/>
      <rgbColor rgb="FFF5F5F5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3B4E"/>
      <rgbColor rgb="FF2196A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2"/>
    <col collapsed="false" customWidth="true" hidden="false" outlineLevel="0" max="4" min="4" style="0" width="14"/>
    <col collapsed="false" customWidth="true" hidden="false" outlineLevel="0" max="5" min="5" style="0" width="36"/>
    <col collapsed="false" customWidth="true" hidden="false" outlineLevel="0" max="8" min="6" style="0" width="10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2" hidden="false" customHeight="true" outlineLevel="0" collapsed="false"/>
    <row r="4" customFormat="false" ht="18" hidden="false" customHeight="true" outlineLevel="0" collapsed="false">
      <c r="A4" s="3" t="s">
        <v>2</v>
      </c>
      <c r="B4" s="4"/>
      <c r="C4" s="4"/>
      <c r="D4" s="4"/>
      <c r="E4" s="3" t="s">
        <v>3</v>
      </c>
      <c r="F4" s="4" t="s">
        <v>4</v>
      </c>
      <c r="G4" s="4"/>
      <c r="H4" s="4"/>
    </row>
    <row r="5" customFormat="false" ht="18" hidden="false" customHeight="true" outlineLevel="0" collapsed="false">
      <c r="A5" s="3" t="s">
        <v>5</v>
      </c>
      <c r="B5" s="4"/>
      <c r="C5" s="4"/>
      <c r="D5" s="4"/>
      <c r="E5" s="3" t="s">
        <v>6</v>
      </c>
      <c r="F5" s="4" t="s">
        <v>7</v>
      </c>
      <c r="G5" s="4"/>
      <c r="H5" s="4"/>
    </row>
    <row r="6" customFormat="false" ht="18" hidden="false" customHeight="true" outlineLevel="0" collapsed="false">
      <c r="A6" s="3" t="s">
        <v>8</v>
      </c>
      <c r="B6" s="4"/>
      <c r="C6" s="4"/>
      <c r="D6" s="4"/>
      <c r="E6" s="3" t="s">
        <v>9</v>
      </c>
      <c r="F6" s="4"/>
      <c r="G6" s="4"/>
      <c r="H6" s="4"/>
    </row>
    <row r="7" customFormat="false" ht="18" hidden="false" customHeight="true" outlineLevel="0" collapsed="false">
      <c r="A7" s="3" t="s">
        <v>10</v>
      </c>
      <c r="B7" s="4" t="s">
        <v>11</v>
      </c>
      <c r="C7" s="4"/>
      <c r="D7" s="4"/>
      <c r="E7" s="3" t="s">
        <v>12</v>
      </c>
      <c r="F7" s="4"/>
      <c r="G7" s="4"/>
      <c r="H7" s="4"/>
    </row>
    <row r="8" customFormat="false" ht="18" hidden="false" customHeight="true" outlineLevel="0" collapsed="false">
      <c r="A8" s="3" t="s">
        <v>13</v>
      </c>
      <c r="B8" s="4"/>
      <c r="C8" s="4"/>
      <c r="D8" s="4"/>
      <c r="E8" s="3" t="s">
        <v>14</v>
      </c>
      <c r="F8" s="4"/>
      <c r="G8" s="4"/>
      <c r="H8" s="4"/>
    </row>
    <row r="9" customFormat="false" ht="18" hidden="false" customHeight="true" outlineLevel="0" collapsed="false">
      <c r="A9" s="3" t="s">
        <v>15</v>
      </c>
      <c r="B9" s="4"/>
      <c r="C9" s="4"/>
      <c r="D9" s="4"/>
      <c r="E9" s="3" t="s">
        <v>16</v>
      </c>
      <c r="F9" s="4"/>
      <c r="G9" s="4"/>
      <c r="H9" s="4"/>
    </row>
    <row r="10" customFormat="false" ht="18" hidden="false" customHeight="true" outlineLevel="0" collapsed="false">
      <c r="A10" s="3" t="s">
        <v>17</v>
      </c>
      <c r="B10" s="4"/>
      <c r="C10" s="4"/>
      <c r="D10" s="4"/>
      <c r="E10" s="3" t="s">
        <v>18</v>
      </c>
      <c r="F10" s="4"/>
      <c r="G10" s="4"/>
      <c r="H10" s="4"/>
    </row>
    <row r="11" customFormat="false" ht="18" hidden="false" customHeight="true" outlineLevel="0" collapsed="false">
      <c r="A11" s="3" t="s">
        <v>19</v>
      </c>
      <c r="B11" s="4"/>
      <c r="C11" s="4"/>
      <c r="D11" s="4"/>
      <c r="E11" s="3" t="s">
        <v>20</v>
      </c>
      <c r="F11" s="4"/>
      <c r="G11" s="4"/>
      <c r="H11" s="4"/>
    </row>
    <row r="12" customFormat="false" ht="18" hidden="false" customHeight="true" outlineLevel="0" collapsed="false">
      <c r="A12" s="3" t="s">
        <v>21</v>
      </c>
      <c r="B12" s="4"/>
      <c r="C12" s="4"/>
      <c r="D12" s="4"/>
      <c r="E12" s="3" t="s">
        <v>22</v>
      </c>
      <c r="F12" s="4"/>
      <c r="G12" s="4"/>
      <c r="H12" s="4"/>
    </row>
    <row r="13" customFormat="false" ht="18" hidden="false" customHeight="true" outlineLevel="0" collapsed="false">
      <c r="A13" s="3" t="s">
        <v>23</v>
      </c>
      <c r="B13" s="4" t="s">
        <v>24</v>
      </c>
      <c r="C13" s="4"/>
      <c r="D13" s="4"/>
      <c r="E13" s="3" t="s">
        <v>25</v>
      </c>
      <c r="F13" s="4"/>
      <c r="G13" s="4"/>
      <c r="H13" s="4"/>
    </row>
    <row r="14" customFormat="false" ht="13.5" hidden="false" customHeight="true" outlineLevel="0" collapsed="false"/>
    <row r="15" customFormat="false" ht="19.5" hidden="false" customHeight="true" outlineLevel="0" collapsed="false">
      <c r="A15" s="5" t="s">
        <v>26</v>
      </c>
      <c r="B15" s="5"/>
      <c r="C15" s="5"/>
      <c r="D15" s="5"/>
      <c r="E15" s="5"/>
      <c r="F15" s="5"/>
      <c r="G15" s="5"/>
      <c r="H15" s="5"/>
    </row>
    <row r="16" customFormat="false" ht="25.5" hidden="false" customHeight="true" outlineLevel="0" collapsed="false">
      <c r="A16" s="6" t="s">
        <v>27</v>
      </c>
      <c r="B16" s="6" t="s">
        <v>28</v>
      </c>
      <c r="C16" s="6" t="s">
        <v>29</v>
      </c>
      <c r="D16" s="6" t="s">
        <v>30</v>
      </c>
      <c r="E16" s="6" t="s">
        <v>31</v>
      </c>
      <c r="F16" s="6" t="s">
        <v>32</v>
      </c>
      <c r="G16" s="6" t="s">
        <v>33</v>
      </c>
      <c r="H16" s="6" t="s">
        <v>34</v>
      </c>
    </row>
    <row r="17" customFormat="false" ht="18" hidden="false" customHeight="true" outlineLevel="0" collapsed="false">
      <c r="A17" s="7" t="s">
        <v>35</v>
      </c>
      <c r="B17" s="8"/>
      <c r="C17" s="8"/>
      <c r="D17" s="8" t="s">
        <v>36</v>
      </c>
      <c r="E17" s="8"/>
      <c r="F17" s="8"/>
      <c r="G17" s="7" t="s">
        <v>24</v>
      </c>
      <c r="H17" s="8"/>
    </row>
    <row r="18" customFormat="false" ht="18" hidden="false" customHeight="true" outlineLevel="0" collapsed="false">
      <c r="A18" s="9" t="s">
        <v>37</v>
      </c>
      <c r="B18" s="10"/>
      <c r="C18" s="10"/>
      <c r="D18" s="10" t="s">
        <v>38</v>
      </c>
      <c r="E18" s="10"/>
      <c r="F18" s="10"/>
      <c r="G18" s="9" t="s">
        <v>39</v>
      </c>
      <c r="H18" s="10"/>
    </row>
    <row r="19" customFormat="false" ht="18" hidden="false" customHeight="true" outlineLevel="0" collapsed="false">
      <c r="A19" s="7" t="s">
        <v>40</v>
      </c>
      <c r="B19" s="8"/>
      <c r="C19" s="8"/>
      <c r="D19" s="8" t="s">
        <v>41</v>
      </c>
      <c r="E19" s="8"/>
      <c r="F19" s="8"/>
      <c r="G19" s="7" t="s">
        <v>42</v>
      </c>
      <c r="H19" s="8"/>
    </row>
    <row r="20" customFormat="false" ht="13.5" hidden="false" customHeight="true" outlineLevel="0" collapsed="false"/>
    <row r="21" customFormat="false" ht="19.5" hidden="false" customHeight="true" outlineLevel="0" collapsed="false">
      <c r="A21" s="5" t="s">
        <v>43</v>
      </c>
      <c r="B21" s="5"/>
      <c r="C21" s="5"/>
      <c r="D21" s="5"/>
      <c r="E21" s="5"/>
      <c r="F21" s="5"/>
      <c r="G21" s="5"/>
      <c r="H21" s="5"/>
    </row>
    <row r="22" customFormat="false" ht="25.5" hidden="false" customHeight="true" outlineLevel="0" collapsed="false">
      <c r="A22" s="6" t="s">
        <v>44</v>
      </c>
      <c r="B22" s="6" t="s">
        <v>45</v>
      </c>
      <c r="C22" s="6" t="s">
        <v>46</v>
      </c>
      <c r="D22" s="6" t="s">
        <v>28</v>
      </c>
      <c r="E22" s="6" t="s">
        <v>47</v>
      </c>
      <c r="F22" s="6"/>
      <c r="G22" s="6"/>
      <c r="H22" s="6"/>
    </row>
    <row r="23" customFormat="false" ht="18" hidden="false" customHeight="true" outlineLevel="0" collapsed="false">
      <c r="A23" s="8" t="s">
        <v>48</v>
      </c>
      <c r="B23" s="8"/>
      <c r="C23" s="7"/>
      <c r="D23" s="7"/>
      <c r="E23" s="8"/>
      <c r="F23" s="8"/>
      <c r="G23" s="8"/>
      <c r="H23" s="8"/>
    </row>
    <row r="24" customFormat="false" ht="18" hidden="false" customHeight="true" outlineLevel="0" collapsed="false">
      <c r="A24" s="10" t="s">
        <v>49</v>
      </c>
      <c r="B24" s="10"/>
      <c r="C24" s="9"/>
      <c r="D24" s="9"/>
      <c r="E24" s="10"/>
      <c r="F24" s="10"/>
      <c r="G24" s="10"/>
      <c r="H24" s="10"/>
    </row>
    <row r="25" customFormat="false" ht="18" hidden="false" customHeight="true" outlineLevel="0" collapsed="false">
      <c r="A25" s="8" t="s">
        <v>50</v>
      </c>
      <c r="B25" s="8"/>
      <c r="C25" s="7"/>
      <c r="D25" s="7"/>
      <c r="E25" s="8"/>
      <c r="F25" s="8"/>
      <c r="G25" s="8"/>
      <c r="H25" s="8"/>
    </row>
    <row r="26" customFormat="false" ht="18" hidden="false" customHeight="true" outlineLevel="0" collapsed="false">
      <c r="A26" s="10" t="s">
        <v>51</v>
      </c>
      <c r="B26" s="10"/>
      <c r="C26" s="9"/>
      <c r="D26" s="9"/>
      <c r="E26" s="10"/>
      <c r="F26" s="10"/>
      <c r="G26" s="10"/>
      <c r="H26" s="10"/>
    </row>
    <row r="27" customFormat="false" ht="18" hidden="false" customHeight="true" outlineLevel="0" collapsed="false">
      <c r="A27" s="8" t="s">
        <v>52</v>
      </c>
      <c r="B27" s="8"/>
      <c r="C27" s="7"/>
      <c r="D27" s="7"/>
      <c r="E27" s="8"/>
      <c r="F27" s="8"/>
      <c r="G27" s="8"/>
      <c r="H27" s="8"/>
    </row>
  </sheetData>
  <mergeCells count="24">
    <mergeCell ref="A1:H1"/>
    <mergeCell ref="A2:H2"/>
    <mergeCell ref="B4:D4"/>
    <mergeCell ref="F4:H4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A15:H15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  <col collapsed="false" customWidth="true" hidden="false" outlineLevel="0" max="3" min="3" style="0" width="28"/>
    <col collapsed="false" customWidth="true" hidden="false" outlineLevel="0" max="4" min="4" style="0" width="60"/>
  </cols>
  <sheetData>
    <row r="1" customFormat="false" ht="36" hidden="false" customHeight="true" outlineLevel="0" collapsed="false">
      <c r="A1" s="11" t="s">
        <v>53</v>
      </c>
      <c r="B1" s="11"/>
      <c r="C1" s="11"/>
      <c r="D1" s="11"/>
    </row>
    <row r="2" customFormat="false" ht="19.5" hidden="false" customHeight="true" outlineLevel="0" collapsed="false">
      <c r="A2" s="5" t="s">
        <v>54</v>
      </c>
      <c r="B2" s="5"/>
      <c r="C2" s="5"/>
      <c r="D2" s="5"/>
    </row>
    <row r="3" customFormat="false" ht="60" hidden="false" customHeight="true" outlineLevel="0" collapsed="false">
      <c r="A3" s="12" t="s">
        <v>55</v>
      </c>
      <c r="B3" s="12"/>
      <c r="C3" s="12"/>
      <c r="D3" s="12"/>
    </row>
    <row r="5" customFormat="false" ht="19.5" hidden="false" customHeight="true" outlineLevel="0" collapsed="false">
      <c r="A5" s="5" t="s">
        <v>56</v>
      </c>
      <c r="B5" s="5"/>
      <c r="C5" s="5"/>
      <c r="D5" s="5"/>
    </row>
    <row r="6" customFormat="false" ht="60" hidden="false" customHeight="true" outlineLevel="0" collapsed="false">
      <c r="A6" s="12" t="s">
        <v>57</v>
      </c>
      <c r="B6" s="12"/>
      <c r="C6" s="12"/>
      <c r="D6" s="12"/>
    </row>
    <row r="8" customFormat="false" ht="19.5" hidden="false" customHeight="true" outlineLevel="0" collapsed="false">
      <c r="A8" s="5" t="s">
        <v>58</v>
      </c>
      <c r="B8" s="5"/>
      <c r="C8" s="5"/>
      <c r="D8" s="5"/>
    </row>
    <row r="9" customFormat="false" ht="60" hidden="false" customHeight="true" outlineLevel="0" collapsed="false">
      <c r="A9" s="12" t="s">
        <v>59</v>
      </c>
      <c r="B9" s="12"/>
      <c r="C9" s="12"/>
      <c r="D9" s="12"/>
    </row>
    <row r="11" customFormat="false" ht="19.5" hidden="false" customHeight="true" outlineLevel="0" collapsed="false">
      <c r="A11" s="5" t="s">
        <v>60</v>
      </c>
      <c r="B11" s="5"/>
      <c r="C11" s="5"/>
      <c r="D11" s="5"/>
    </row>
    <row r="12" customFormat="false" ht="60" hidden="false" customHeight="true" outlineLevel="0" collapsed="false">
      <c r="A12" s="12" t="s">
        <v>61</v>
      </c>
      <c r="B12" s="12"/>
      <c r="C12" s="12"/>
      <c r="D12" s="12"/>
    </row>
    <row r="14" customFormat="false" ht="19.5" hidden="false" customHeight="true" outlineLevel="0" collapsed="false">
      <c r="A14" s="5" t="s">
        <v>62</v>
      </c>
      <c r="B14" s="5"/>
      <c r="C14" s="5"/>
      <c r="D14" s="5"/>
    </row>
    <row r="15" customFormat="false" ht="60" hidden="false" customHeight="true" outlineLevel="0" collapsed="false">
      <c r="A15" s="12" t="s">
        <v>63</v>
      </c>
      <c r="B15" s="12"/>
      <c r="C15" s="12"/>
      <c r="D15" s="12"/>
    </row>
    <row r="17" customFormat="false" ht="19.5" hidden="false" customHeight="true" outlineLevel="0" collapsed="false">
      <c r="A17" s="5" t="s">
        <v>64</v>
      </c>
      <c r="B17" s="5"/>
      <c r="C17" s="5"/>
      <c r="D17" s="5"/>
    </row>
    <row r="18" customFormat="false" ht="60" hidden="false" customHeight="true" outlineLevel="0" collapsed="false">
      <c r="A18" s="12" t="s">
        <v>65</v>
      </c>
      <c r="B18" s="12"/>
      <c r="C18" s="12"/>
      <c r="D18" s="12"/>
    </row>
    <row r="20" customFormat="false" ht="19.5" hidden="false" customHeight="true" outlineLevel="0" collapsed="false">
      <c r="A20" s="5" t="s">
        <v>66</v>
      </c>
      <c r="B20" s="5"/>
      <c r="C20" s="5"/>
      <c r="D20" s="5"/>
    </row>
    <row r="21" customFormat="false" ht="60" hidden="false" customHeight="true" outlineLevel="0" collapsed="false">
      <c r="A21" s="12" t="s">
        <v>67</v>
      </c>
      <c r="B21" s="12"/>
      <c r="C21" s="12"/>
      <c r="D21" s="12"/>
    </row>
    <row r="23" customFormat="false" ht="19.5" hidden="false" customHeight="true" outlineLevel="0" collapsed="false">
      <c r="A23" s="5" t="s">
        <v>68</v>
      </c>
      <c r="B23" s="5"/>
      <c r="C23" s="5"/>
      <c r="D23" s="5"/>
    </row>
    <row r="24" customFormat="false" ht="60" hidden="false" customHeight="true" outlineLevel="0" collapsed="false">
      <c r="A24" s="12" t="s">
        <v>69</v>
      </c>
      <c r="B24" s="12"/>
      <c r="C24" s="12"/>
      <c r="D24" s="12"/>
    </row>
  </sheetData>
  <mergeCells count="17">
    <mergeCell ref="A1:D1"/>
    <mergeCell ref="A2:D2"/>
    <mergeCell ref="A3:D3"/>
    <mergeCell ref="A5:D5"/>
    <mergeCell ref="A6:D6"/>
    <mergeCell ref="A8:D8"/>
    <mergeCell ref="A9:D9"/>
    <mergeCell ref="A11:D11"/>
    <mergeCell ref="A12:D12"/>
    <mergeCell ref="A14:D14"/>
    <mergeCell ref="A15:D15"/>
    <mergeCell ref="A17:D17"/>
    <mergeCell ref="A18:D18"/>
    <mergeCell ref="A20:D20"/>
    <mergeCell ref="A21:D21"/>
    <mergeCell ref="A23:D23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20"/>
  </cols>
  <sheetData>
    <row r="1" customFormat="false" ht="33.75" hidden="false" customHeight="true" outlineLevel="0" collapsed="false">
      <c r="A1" s="11" t="s">
        <v>70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19.5" hidden="false" customHeight="true" outlineLevel="0" collapsed="false">
      <c r="A2" s="5" t="s">
        <v>71</v>
      </c>
      <c r="B2" s="5"/>
      <c r="C2" s="5"/>
      <c r="D2" s="5"/>
      <c r="E2" s="5"/>
      <c r="F2" s="5"/>
      <c r="G2" s="5"/>
      <c r="H2" s="5"/>
      <c r="I2" s="5"/>
      <c r="J2" s="5"/>
    </row>
    <row r="3" customFormat="false" ht="25.5" hidden="false" customHeight="true" outlineLevel="0" collapsed="false">
      <c r="A3" s="6" t="s">
        <v>72</v>
      </c>
      <c r="B3" s="6" t="s">
        <v>73</v>
      </c>
      <c r="C3" s="6" t="s">
        <v>74</v>
      </c>
      <c r="D3" s="6" t="s">
        <v>75</v>
      </c>
      <c r="E3" s="6" t="s">
        <v>76</v>
      </c>
      <c r="F3" s="6" t="s">
        <v>77</v>
      </c>
      <c r="G3" s="6" t="s">
        <v>78</v>
      </c>
      <c r="H3" s="6" t="s">
        <v>33</v>
      </c>
      <c r="I3" s="6" t="s">
        <v>79</v>
      </c>
      <c r="J3" s="6" t="s">
        <v>34</v>
      </c>
    </row>
    <row r="4" customFormat="false" ht="19.5" hidden="false" customHeight="true" outlineLevel="0" collapsed="false">
      <c r="A4" s="8" t="s">
        <v>80</v>
      </c>
      <c r="B4" s="8" t="s">
        <v>81</v>
      </c>
      <c r="C4" s="7"/>
      <c r="D4" s="7"/>
      <c r="E4" s="7"/>
      <c r="F4" s="7"/>
      <c r="G4" s="8" t="s">
        <v>48</v>
      </c>
      <c r="H4" s="13" t="s">
        <v>82</v>
      </c>
      <c r="I4" s="7" t="s">
        <v>83</v>
      </c>
      <c r="J4" s="8"/>
    </row>
    <row r="5" customFormat="false" ht="19.5" hidden="false" customHeight="true" outlineLevel="0" collapsed="false">
      <c r="A5" s="10" t="s">
        <v>84</v>
      </c>
      <c r="B5" s="10" t="s">
        <v>81</v>
      </c>
      <c r="C5" s="9"/>
      <c r="D5" s="9"/>
      <c r="E5" s="9"/>
      <c r="F5" s="9"/>
      <c r="G5" s="10" t="s">
        <v>85</v>
      </c>
      <c r="H5" s="14" t="s">
        <v>86</v>
      </c>
      <c r="I5" s="9" t="s">
        <v>87</v>
      </c>
      <c r="J5" s="10"/>
    </row>
    <row r="6" customFormat="false" ht="19.5" hidden="false" customHeight="true" outlineLevel="0" collapsed="false">
      <c r="A6" s="8" t="s">
        <v>88</v>
      </c>
      <c r="B6" s="8" t="s">
        <v>89</v>
      </c>
      <c r="C6" s="7"/>
      <c r="D6" s="7"/>
      <c r="E6" s="7"/>
      <c r="F6" s="7"/>
      <c r="G6" s="8" t="s">
        <v>90</v>
      </c>
      <c r="H6" s="15" t="s">
        <v>91</v>
      </c>
      <c r="I6" s="7" t="s">
        <v>92</v>
      </c>
      <c r="J6" s="8"/>
    </row>
    <row r="7" customFormat="false" ht="19.5" hidden="false" customHeight="true" outlineLevel="0" collapsed="false">
      <c r="A7" s="10" t="s">
        <v>93</v>
      </c>
      <c r="B7" s="10" t="s">
        <v>89</v>
      </c>
      <c r="C7" s="9"/>
      <c r="D7" s="9"/>
      <c r="E7" s="9"/>
      <c r="F7" s="9"/>
      <c r="G7" s="10" t="s">
        <v>85</v>
      </c>
      <c r="H7" s="15" t="s">
        <v>91</v>
      </c>
      <c r="I7" s="9" t="s">
        <v>92</v>
      </c>
      <c r="J7" s="10"/>
    </row>
    <row r="8" customFormat="false" ht="19.5" hidden="false" customHeight="true" outlineLevel="0" collapsed="false">
      <c r="A8" s="8" t="s">
        <v>94</v>
      </c>
      <c r="B8" s="8" t="s">
        <v>95</v>
      </c>
      <c r="C8" s="7"/>
      <c r="D8" s="7"/>
      <c r="E8" s="7"/>
      <c r="F8" s="7"/>
      <c r="G8" s="8" t="s">
        <v>48</v>
      </c>
      <c r="H8" s="9" t="s">
        <v>96</v>
      </c>
      <c r="I8" s="7" t="s">
        <v>92</v>
      </c>
      <c r="J8" s="8"/>
    </row>
    <row r="9" customFormat="false" ht="19.5" hidden="false" customHeight="true" outlineLevel="0" collapsed="false">
      <c r="A9" s="10" t="s">
        <v>97</v>
      </c>
      <c r="B9" s="10" t="s">
        <v>95</v>
      </c>
      <c r="C9" s="9"/>
      <c r="D9" s="9"/>
      <c r="E9" s="9"/>
      <c r="F9" s="9"/>
      <c r="G9" s="10" t="s">
        <v>85</v>
      </c>
      <c r="H9" s="9" t="s">
        <v>96</v>
      </c>
      <c r="I9" s="9" t="s">
        <v>92</v>
      </c>
      <c r="J9" s="10"/>
    </row>
    <row r="10" customFormat="false" ht="19.5" hidden="false" customHeight="true" outlineLevel="0" collapsed="false">
      <c r="A10" s="8" t="s">
        <v>98</v>
      </c>
      <c r="B10" s="8" t="s">
        <v>99</v>
      </c>
      <c r="C10" s="7"/>
      <c r="D10" s="7"/>
      <c r="E10" s="7"/>
      <c r="F10" s="7"/>
      <c r="G10" s="8" t="s">
        <v>85</v>
      </c>
      <c r="H10" s="9" t="s">
        <v>96</v>
      </c>
      <c r="I10" s="7" t="s">
        <v>92</v>
      </c>
      <c r="J10" s="8"/>
    </row>
    <row r="11" customFormat="false" ht="19.5" hidden="false" customHeight="true" outlineLevel="0" collapsed="false">
      <c r="A11" s="10" t="s">
        <v>100</v>
      </c>
      <c r="B11" s="10" t="s">
        <v>99</v>
      </c>
      <c r="C11" s="9"/>
      <c r="D11" s="9"/>
      <c r="E11" s="9"/>
      <c r="F11" s="9"/>
      <c r="G11" s="10" t="s">
        <v>85</v>
      </c>
      <c r="H11" s="9" t="s">
        <v>96</v>
      </c>
      <c r="I11" s="9" t="s">
        <v>92</v>
      </c>
      <c r="J11" s="10"/>
    </row>
    <row r="12" customFormat="false" ht="19.5" hidden="false" customHeight="true" outlineLevel="0" collapsed="false">
      <c r="A12" s="8" t="s">
        <v>101</v>
      </c>
      <c r="B12" s="8" t="s">
        <v>102</v>
      </c>
      <c r="C12" s="7"/>
      <c r="D12" s="7"/>
      <c r="E12" s="7"/>
      <c r="F12" s="7"/>
      <c r="G12" s="8" t="s">
        <v>103</v>
      </c>
      <c r="H12" s="9" t="s">
        <v>96</v>
      </c>
      <c r="I12" s="7" t="s">
        <v>92</v>
      </c>
      <c r="J12" s="8"/>
    </row>
    <row r="13" customFormat="false" ht="19.5" hidden="false" customHeight="true" outlineLevel="0" collapsed="false">
      <c r="A13" s="10" t="s">
        <v>104</v>
      </c>
      <c r="B13" s="10" t="s">
        <v>102</v>
      </c>
      <c r="C13" s="9"/>
      <c r="D13" s="9"/>
      <c r="E13" s="9"/>
      <c r="F13" s="9"/>
      <c r="G13" s="10" t="s">
        <v>105</v>
      </c>
      <c r="H13" s="9" t="s">
        <v>96</v>
      </c>
      <c r="I13" s="9" t="s">
        <v>92</v>
      </c>
      <c r="J13" s="10"/>
    </row>
    <row r="14" customFormat="false" ht="19.5" hidden="false" customHeight="true" outlineLevel="0" collapsed="false">
      <c r="A14" s="8" t="s">
        <v>106</v>
      </c>
      <c r="B14" s="8" t="s">
        <v>107</v>
      </c>
      <c r="C14" s="7"/>
      <c r="D14" s="7"/>
      <c r="E14" s="7"/>
      <c r="F14" s="7"/>
      <c r="G14" s="8" t="s">
        <v>48</v>
      </c>
      <c r="H14" s="9" t="s">
        <v>96</v>
      </c>
      <c r="I14" s="7" t="s">
        <v>92</v>
      </c>
      <c r="J14" s="8"/>
    </row>
    <row r="15" customFormat="false" ht="19.5" hidden="false" customHeight="true" outlineLevel="0" collapsed="false">
      <c r="A15" s="10" t="s">
        <v>108</v>
      </c>
      <c r="B15" s="10" t="s">
        <v>109</v>
      </c>
      <c r="C15" s="9"/>
      <c r="D15" s="9"/>
      <c r="E15" s="9"/>
      <c r="F15" s="9"/>
      <c r="G15" s="10" t="s">
        <v>48</v>
      </c>
      <c r="H15" s="9" t="s">
        <v>96</v>
      </c>
      <c r="I15" s="9" t="s">
        <v>92</v>
      </c>
      <c r="J15" s="10"/>
    </row>
    <row r="16" customFormat="false" ht="19.5" hidden="false" customHeight="true" outlineLevel="0" collapsed="false">
      <c r="A16" s="8" t="s">
        <v>110</v>
      </c>
      <c r="B16" s="8" t="s">
        <v>109</v>
      </c>
      <c r="C16" s="7"/>
      <c r="D16" s="7"/>
      <c r="E16" s="7"/>
      <c r="F16" s="7"/>
      <c r="G16" s="8" t="s">
        <v>48</v>
      </c>
      <c r="H16" s="9" t="s">
        <v>96</v>
      </c>
      <c r="I16" s="7" t="s">
        <v>92</v>
      </c>
      <c r="J16" s="8"/>
    </row>
    <row r="17" customFormat="false" ht="12" hidden="false" customHeight="true" outlineLevel="0" collapsed="false"/>
    <row r="18" customFormat="false" ht="19.5" hidden="false" customHeight="true" outlineLevel="0" collapsed="false">
      <c r="A18" s="5" t="s">
        <v>111</v>
      </c>
      <c r="B18" s="5"/>
      <c r="C18" s="5"/>
      <c r="D18" s="5"/>
      <c r="E18" s="5"/>
      <c r="F18" s="5"/>
      <c r="G18" s="5"/>
      <c r="H18" s="5"/>
      <c r="I18" s="5"/>
      <c r="J18" s="5"/>
    </row>
    <row r="19" customFormat="false" ht="25.5" hidden="false" customHeight="true" outlineLevel="0" collapsed="false">
      <c r="A19" s="6" t="s">
        <v>112</v>
      </c>
      <c r="B19" s="6" t="s">
        <v>44</v>
      </c>
      <c r="C19" s="6" t="s">
        <v>113</v>
      </c>
      <c r="D19" s="6" t="s">
        <v>114</v>
      </c>
      <c r="E19" s="6" t="s">
        <v>115</v>
      </c>
      <c r="F19" s="6" t="s">
        <v>116</v>
      </c>
      <c r="G19" s="6" t="s">
        <v>117</v>
      </c>
      <c r="H19" s="6" t="s">
        <v>34</v>
      </c>
      <c r="I19" s="6"/>
      <c r="J19" s="6"/>
    </row>
    <row r="20" customFormat="false" ht="19.5" hidden="false" customHeight="true" outlineLevel="0" collapsed="false">
      <c r="A20" s="8"/>
      <c r="B20" s="8" t="s">
        <v>48</v>
      </c>
      <c r="C20" s="8" t="s">
        <v>118</v>
      </c>
      <c r="D20" s="7" t="s">
        <v>83</v>
      </c>
      <c r="E20" s="8" t="s">
        <v>119</v>
      </c>
      <c r="F20" s="8"/>
      <c r="G20" s="8"/>
      <c r="H20" s="8"/>
      <c r="I20" s="8"/>
      <c r="J20" s="8"/>
    </row>
    <row r="21" customFormat="false" ht="19.5" hidden="false" customHeight="true" outlineLevel="0" collapsed="false">
      <c r="A21" s="10"/>
      <c r="B21" s="10" t="s">
        <v>120</v>
      </c>
      <c r="C21" s="10" t="s">
        <v>121</v>
      </c>
      <c r="D21" s="9" t="s">
        <v>83</v>
      </c>
      <c r="E21" s="10" t="s">
        <v>122</v>
      </c>
      <c r="F21" s="10"/>
      <c r="G21" s="10"/>
      <c r="H21" s="10"/>
      <c r="I21" s="10"/>
      <c r="J21" s="10"/>
    </row>
    <row r="22" customFormat="false" ht="19.5" hidden="false" customHeight="true" outlineLevel="0" collapsed="false">
      <c r="A22" s="8"/>
      <c r="B22" s="8" t="s">
        <v>123</v>
      </c>
      <c r="C22" s="8" t="s">
        <v>124</v>
      </c>
      <c r="D22" s="7" t="s">
        <v>87</v>
      </c>
      <c r="E22" s="8" t="s">
        <v>125</v>
      </c>
      <c r="F22" s="8"/>
      <c r="G22" s="8"/>
      <c r="H22" s="8"/>
      <c r="I22" s="8"/>
      <c r="J22" s="8"/>
    </row>
    <row r="23" customFormat="false" ht="19.5" hidden="false" customHeight="true" outlineLevel="0" collapsed="false">
      <c r="A23" s="10"/>
      <c r="B23" s="10" t="s">
        <v>126</v>
      </c>
      <c r="C23" s="10" t="s">
        <v>127</v>
      </c>
      <c r="D23" s="9" t="s">
        <v>128</v>
      </c>
      <c r="E23" s="10" t="s">
        <v>102</v>
      </c>
      <c r="F23" s="10"/>
      <c r="G23" s="10"/>
      <c r="H23" s="10"/>
      <c r="I23" s="10"/>
      <c r="J23" s="10"/>
    </row>
    <row r="24" customFormat="false" ht="19.5" hidden="false" customHeight="true" outlineLevel="0" collapsed="false">
      <c r="A24" s="8"/>
      <c r="B24" s="8" t="s">
        <v>129</v>
      </c>
      <c r="C24" s="8" t="s">
        <v>130</v>
      </c>
      <c r="D24" s="7" t="s">
        <v>131</v>
      </c>
      <c r="E24" s="8" t="s">
        <v>102</v>
      </c>
      <c r="F24" s="8"/>
      <c r="G24" s="8"/>
      <c r="H24" s="8"/>
      <c r="I24" s="8"/>
      <c r="J24" s="8"/>
    </row>
    <row r="25" customFormat="false" ht="19.5" hidden="false" customHeight="true" outlineLevel="0" collapsed="false">
      <c r="A25" s="10"/>
      <c r="B25" s="10" t="s">
        <v>132</v>
      </c>
      <c r="C25" s="10" t="s">
        <v>133</v>
      </c>
      <c r="D25" s="9" t="s">
        <v>131</v>
      </c>
      <c r="E25" s="10" t="s">
        <v>134</v>
      </c>
      <c r="F25" s="10"/>
      <c r="G25" s="10"/>
      <c r="H25" s="10"/>
      <c r="I25" s="10"/>
      <c r="J25" s="10"/>
    </row>
    <row r="26" customFormat="false" ht="19.5" hidden="false" customHeight="true" outlineLevel="0" collapsed="false">
      <c r="A26" s="8"/>
      <c r="B26" s="8" t="s">
        <v>135</v>
      </c>
      <c r="C26" s="8" t="s">
        <v>136</v>
      </c>
      <c r="D26" s="7" t="s">
        <v>137</v>
      </c>
      <c r="E26" s="8" t="s">
        <v>119</v>
      </c>
      <c r="F26" s="8"/>
      <c r="G26" s="8"/>
      <c r="H26" s="8"/>
      <c r="I26" s="8"/>
      <c r="J26" s="8"/>
    </row>
    <row r="27" customFormat="false" ht="12" hidden="false" customHeight="true" outlineLevel="0" collapsed="false"/>
    <row r="28" customFormat="false" ht="19.5" hidden="false" customHeight="true" outlineLevel="0" collapsed="false">
      <c r="A28" s="5" t="s">
        <v>138</v>
      </c>
      <c r="B28" s="5"/>
      <c r="C28" s="5"/>
      <c r="D28" s="5"/>
      <c r="E28" s="5"/>
      <c r="F28" s="5"/>
      <c r="G28" s="5"/>
      <c r="H28" s="5"/>
      <c r="I28" s="5"/>
      <c r="J28" s="5"/>
    </row>
    <row r="29" customFormat="false" ht="25.5" hidden="false" customHeight="true" outlineLevel="0" collapsed="false">
      <c r="A29" s="6" t="s">
        <v>139</v>
      </c>
      <c r="B29" s="6" t="s">
        <v>140</v>
      </c>
      <c r="C29" s="6" t="s">
        <v>141</v>
      </c>
      <c r="D29" s="6" t="s">
        <v>142</v>
      </c>
      <c r="E29" s="6" t="s">
        <v>143</v>
      </c>
      <c r="F29" s="6" t="s">
        <v>144</v>
      </c>
      <c r="G29" s="6" t="s">
        <v>145</v>
      </c>
      <c r="H29" s="6" t="s">
        <v>146</v>
      </c>
      <c r="I29" s="6" t="s">
        <v>33</v>
      </c>
      <c r="J29" s="6" t="s">
        <v>34</v>
      </c>
    </row>
    <row r="30" customFormat="false" ht="19.5" hidden="false" customHeight="true" outlineLevel="0" collapsed="false">
      <c r="A30" s="8" t="s">
        <v>147</v>
      </c>
      <c r="B30" s="8" t="s">
        <v>148</v>
      </c>
      <c r="C30" s="8" t="s">
        <v>149</v>
      </c>
      <c r="D30" s="8" t="s">
        <v>150</v>
      </c>
      <c r="E30" s="8" t="s">
        <v>151</v>
      </c>
      <c r="F30" s="8" t="s">
        <v>152</v>
      </c>
      <c r="G30" s="8" t="s">
        <v>90</v>
      </c>
      <c r="H30" s="8" t="s">
        <v>153</v>
      </c>
      <c r="I30" s="7" t="s">
        <v>154</v>
      </c>
      <c r="J30" s="8"/>
    </row>
    <row r="31" customFormat="false" ht="19.5" hidden="false" customHeight="true" outlineLevel="0" collapsed="false">
      <c r="A31" s="10" t="s">
        <v>155</v>
      </c>
      <c r="B31" s="10" t="s">
        <v>156</v>
      </c>
      <c r="C31" s="10" t="s">
        <v>157</v>
      </c>
      <c r="D31" s="10" t="s">
        <v>150</v>
      </c>
      <c r="E31" s="10" t="s">
        <v>158</v>
      </c>
      <c r="F31" s="10" t="s">
        <v>152</v>
      </c>
      <c r="G31" s="10" t="s">
        <v>90</v>
      </c>
      <c r="H31" s="10" t="s">
        <v>159</v>
      </c>
      <c r="I31" s="9" t="s">
        <v>154</v>
      </c>
      <c r="J31" s="10"/>
    </row>
    <row r="32" customFormat="false" ht="19.5" hidden="false" customHeight="true" outlineLevel="0" collapsed="false">
      <c r="A32" s="8" t="s">
        <v>160</v>
      </c>
      <c r="B32" s="8" t="s">
        <v>161</v>
      </c>
      <c r="C32" s="8" t="s">
        <v>162</v>
      </c>
      <c r="D32" s="8" t="s">
        <v>150</v>
      </c>
      <c r="E32" s="8" t="s">
        <v>163</v>
      </c>
      <c r="F32" s="8" t="s">
        <v>152</v>
      </c>
      <c r="G32" s="8" t="s">
        <v>90</v>
      </c>
      <c r="H32" s="8" t="s">
        <v>164</v>
      </c>
      <c r="I32" s="7" t="s">
        <v>154</v>
      </c>
      <c r="J32" s="8"/>
    </row>
    <row r="33" customFormat="false" ht="19.5" hidden="false" customHeight="true" outlineLevel="0" collapsed="false">
      <c r="A33" s="10" t="s">
        <v>165</v>
      </c>
      <c r="B33" s="10" t="s">
        <v>166</v>
      </c>
      <c r="C33" s="10" t="s">
        <v>167</v>
      </c>
      <c r="D33" s="10" t="s">
        <v>150</v>
      </c>
      <c r="E33" s="10" t="s">
        <v>168</v>
      </c>
      <c r="F33" s="10" t="s">
        <v>152</v>
      </c>
      <c r="G33" s="10" t="s">
        <v>90</v>
      </c>
      <c r="H33" s="10" t="s">
        <v>169</v>
      </c>
      <c r="I33" s="9" t="s">
        <v>91</v>
      </c>
      <c r="J33" s="10"/>
    </row>
    <row r="34" customFormat="false" ht="19.5" hidden="false" customHeight="true" outlineLevel="0" collapsed="false">
      <c r="A34" s="8" t="s">
        <v>170</v>
      </c>
      <c r="B34" s="8" t="s">
        <v>171</v>
      </c>
      <c r="C34" s="8" t="s">
        <v>172</v>
      </c>
      <c r="D34" s="8" t="s">
        <v>150</v>
      </c>
      <c r="E34" s="8" t="s">
        <v>173</v>
      </c>
      <c r="F34" s="8" t="s">
        <v>152</v>
      </c>
      <c r="G34" s="8" t="s">
        <v>90</v>
      </c>
      <c r="H34" s="8" t="s">
        <v>173</v>
      </c>
      <c r="I34" s="7" t="s">
        <v>174</v>
      </c>
      <c r="J34" s="8" t="s">
        <v>175</v>
      </c>
    </row>
  </sheetData>
  <mergeCells count="4">
    <mergeCell ref="A1:J1"/>
    <mergeCell ref="A2:J2"/>
    <mergeCell ref="A18:J18"/>
    <mergeCell ref="A28:J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8"/>
    <col collapsed="false" customWidth="true" hidden="false" outlineLevel="0" max="8" min="8" style="0" width="40"/>
    <col collapsed="false" customWidth="true" hidden="false" outlineLevel="0" max="10" min="9" style="0" width="34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6"/>
    <col collapsed="false" customWidth="true" hidden="false" outlineLevel="0" max="14" min="14" style="0" width="13"/>
    <col collapsed="false" customWidth="true" hidden="false" outlineLevel="0" max="15" min="15" style="0" width="12"/>
  </cols>
  <sheetData>
    <row r="1" customFormat="false" ht="33.75" hidden="false" customHeight="true" outlineLevel="0" collapsed="false">
      <c r="A1" s="11" t="s">
        <v>176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customFormat="false" ht="19.5" hidden="false" customHeight="true" outlineLevel="0" collapsed="false">
      <c r="A2" s="16" t="s">
        <v>177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customFormat="false" ht="25.5" hidden="false" customHeight="true" outlineLevel="0" collapsed="false">
      <c r="A3" s="6" t="s">
        <v>178</v>
      </c>
      <c r="B3" s="6" t="s">
        <v>179</v>
      </c>
      <c r="C3" s="6" t="s">
        <v>180</v>
      </c>
      <c r="D3" s="6" t="s">
        <v>181</v>
      </c>
      <c r="E3" s="6" t="s">
        <v>182</v>
      </c>
      <c r="F3" s="6" t="s">
        <v>183</v>
      </c>
      <c r="G3" s="6" t="s">
        <v>184</v>
      </c>
      <c r="H3" s="6" t="s">
        <v>185</v>
      </c>
      <c r="I3" s="6" t="s">
        <v>186</v>
      </c>
      <c r="J3" s="6" t="s">
        <v>187</v>
      </c>
      <c r="K3" s="6" t="s">
        <v>33</v>
      </c>
      <c r="L3" s="6" t="s">
        <v>188</v>
      </c>
      <c r="M3" s="6" t="s">
        <v>189</v>
      </c>
      <c r="N3" s="6" t="s">
        <v>190</v>
      </c>
      <c r="O3" s="6" t="s">
        <v>191</v>
      </c>
    </row>
    <row r="4" customFormat="false" ht="45.75" hidden="false" customHeight="true" outlineLevel="0" collapsed="false">
      <c r="A4" s="7" t="s">
        <v>192</v>
      </c>
      <c r="B4" s="7" t="s">
        <v>193</v>
      </c>
      <c r="C4" s="8" t="s">
        <v>194</v>
      </c>
      <c r="D4" s="8" t="s">
        <v>195</v>
      </c>
      <c r="E4" s="7" t="s">
        <v>196</v>
      </c>
      <c r="F4" s="7" t="s">
        <v>197</v>
      </c>
      <c r="G4" s="8" t="s">
        <v>198</v>
      </c>
      <c r="H4" s="8" t="s">
        <v>199</v>
      </c>
      <c r="I4" s="8" t="s">
        <v>200</v>
      </c>
      <c r="J4" s="8"/>
      <c r="K4" s="13" t="s">
        <v>201</v>
      </c>
      <c r="L4" s="13" t="s">
        <v>202</v>
      </c>
      <c r="M4" s="8"/>
      <c r="N4" s="7"/>
      <c r="O4" s="7"/>
    </row>
    <row r="5" customFormat="false" ht="45.75" hidden="false" customHeight="true" outlineLevel="0" collapsed="false">
      <c r="A5" s="9" t="s">
        <v>203</v>
      </c>
      <c r="B5" s="9" t="s">
        <v>193</v>
      </c>
      <c r="C5" s="10" t="s">
        <v>194</v>
      </c>
      <c r="D5" s="10" t="s">
        <v>204</v>
      </c>
      <c r="E5" s="9" t="s">
        <v>196</v>
      </c>
      <c r="F5" s="9" t="s">
        <v>197</v>
      </c>
      <c r="G5" s="10" t="s">
        <v>205</v>
      </c>
      <c r="H5" s="10" t="s">
        <v>206</v>
      </c>
      <c r="I5" s="10" t="s">
        <v>207</v>
      </c>
      <c r="J5" s="10"/>
      <c r="K5" s="13" t="s">
        <v>201</v>
      </c>
      <c r="L5" s="13" t="s">
        <v>202</v>
      </c>
      <c r="M5" s="10"/>
      <c r="N5" s="9"/>
      <c r="O5" s="9"/>
    </row>
    <row r="6" customFormat="false" ht="45.75" hidden="false" customHeight="true" outlineLevel="0" collapsed="false">
      <c r="A6" s="7" t="s">
        <v>208</v>
      </c>
      <c r="B6" s="7" t="s">
        <v>193</v>
      </c>
      <c r="C6" s="8" t="s">
        <v>194</v>
      </c>
      <c r="D6" s="8" t="s">
        <v>209</v>
      </c>
      <c r="E6" s="7" t="s">
        <v>196</v>
      </c>
      <c r="F6" s="7" t="s">
        <v>210</v>
      </c>
      <c r="G6" s="8" t="s">
        <v>211</v>
      </c>
      <c r="H6" s="8" t="s">
        <v>212</v>
      </c>
      <c r="I6" s="8" t="s">
        <v>213</v>
      </c>
      <c r="J6" s="8"/>
      <c r="K6" s="13" t="s">
        <v>201</v>
      </c>
      <c r="L6" s="13" t="s">
        <v>202</v>
      </c>
      <c r="M6" s="8"/>
      <c r="N6" s="7"/>
      <c r="O6" s="7"/>
    </row>
    <row r="7" customFormat="false" ht="45.75" hidden="false" customHeight="true" outlineLevel="0" collapsed="false">
      <c r="A7" s="9" t="s">
        <v>214</v>
      </c>
      <c r="B7" s="9" t="s">
        <v>215</v>
      </c>
      <c r="C7" s="10" t="s">
        <v>194</v>
      </c>
      <c r="D7" s="10" t="s">
        <v>216</v>
      </c>
      <c r="E7" s="9" t="s">
        <v>196</v>
      </c>
      <c r="F7" s="9" t="s">
        <v>197</v>
      </c>
      <c r="G7" s="10" t="s">
        <v>217</v>
      </c>
      <c r="H7" s="10" t="s">
        <v>218</v>
      </c>
      <c r="I7" s="10" t="s">
        <v>219</v>
      </c>
      <c r="J7" s="10"/>
      <c r="K7" s="14" t="s">
        <v>86</v>
      </c>
      <c r="L7" s="9"/>
      <c r="M7" s="10"/>
      <c r="N7" s="9"/>
      <c r="O7" s="9"/>
    </row>
    <row r="8" customFormat="false" ht="45.75" hidden="false" customHeight="true" outlineLevel="0" collapsed="false">
      <c r="A8" s="7" t="s">
        <v>220</v>
      </c>
      <c r="B8" s="7" t="s">
        <v>221</v>
      </c>
      <c r="C8" s="8" t="s">
        <v>194</v>
      </c>
      <c r="D8" s="8" t="s">
        <v>222</v>
      </c>
      <c r="E8" s="7" t="s">
        <v>196</v>
      </c>
      <c r="F8" s="7" t="s">
        <v>197</v>
      </c>
      <c r="G8" s="8" t="s">
        <v>223</v>
      </c>
      <c r="H8" s="8" t="s">
        <v>224</v>
      </c>
      <c r="I8" s="8" t="s">
        <v>225</v>
      </c>
      <c r="J8" s="8"/>
      <c r="K8" s="17" t="s">
        <v>226</v>
      </c>
      <c r="L8" s="17" t="s">
        <v>227</v>
      </c>
      <c r="M8" s="8"/>
      <c r="N8" s="7"/>
      <c r="O8" s="7" t="s">
        <v>228</v>
      </c>
    </row>
    <row r="9" customFormat="false" ht="45.75" hidden="false" customHeight="true" outlineLevel="0" collapsed="false">
      <c r="A9" s="9" t="s">
        <v>229</v>
      </c>
      <c r="B9" s="9" t="s">
        <v>230</v>
      </c>
      <c r="C9" s="10" t="s">
        <v>194</v>
      </c>
      <c r="D9" s="10" t="s">
        <v>231</v>
      </c>
      <c r="E9" s="9" t="s">
        <v>232</v>
      </c>
      <c r="F9" s="9" t="s">
        <v>233</v>
      </c>
      <c r="G9" s="10" t="s">
        <v>234</v>
      </c>
      <c r="H9" s="10" t="s">
        <v>235</v>
      </c>
      <c r="I9" s="10" t="s">
        <v>236</v>
      </c>
      <c r="J9" s="10"/>
      <c r="K9" s="13" t="s">
        <v>201</v>
      </c>
      <c r="L9" s="13" t="s">
        <v>202</v>
      </c>
      <c r="M9" s="10"/>
      <c r="N9" s="9"/>
      <c r="O9" s="9"/>
    </row>
    <row r="10" customFormat="false" ht="45.75" hidden="false" customHeight="true" outlineLevel="0" collapsed="false">
      <c r="A10" s="7" t="s">
        <v>237</v>
      </c>
      <c r="B10" s="7" t="s">
        <v>238</v>
      </c>
      <c r="C10" s="8" t="s">
        <v>239</v>
      </c>
      <c r="D10" s="8" t="s">
        <v>240</v>
      </c>
      <c r="E10" s="7" t="s">
        <v>232</v>
      </c>
      <c r="F10" s="7" t="s">
        <v>233</v>
      </c>
      <c r="G10" s="8" t="s">
        <v>241</v>
      </c>
      <c r="H10" s="8" t="s">
        <v>242</v>
      </c>
      <c r="I10" s="8" t="s">
        <v>243</v>
      </c>
      <c r="J10" s="8"/>
      <c r="K10" s="13" t="s">
        <v>201</v>
      </c>
      <c r="L10" s="13" t="s">
        <v>202</v>
      </c>
      <c r="M10" s="8"/>
      <c r="N10" s="7"/>
      <c r="O10" s="7"/>
    </row>
    <row r="11" customFormat="false" ht="45.75" hidden="false" customHeight="true" outlineLevel="0" collapsed="false">
      <c r="A11" s="9" t="s">
        <v>244</v>
      </c>
      <c r="B11" s="9" t="s">
        <v>245</v>
      </c>
      <c r="C11" s="10" t="s">
        <v>239</v>
      </c>
      <c r="D11" s="10" t="s">
        <v>246</v>
      </c>
      <c r="E11" s="9" t="s">
        <v>247</v>
      </c>
      <c r="F11" s="9" t="s">
        <v>197</v>
      </c>
      <c r="G11" s="10" t="s">
        <v>248</v>
      </c>
      <c r="H11" s="10" t="s">
        <v>249</v>
      </c>
      <c r="I11" s="10" t="s">
        <v>250</v>
      </c>
      <c r="J11" s="10"/>
      <c r="K11" s="14" t="s">
        <v>86</v>
      </c>
      <c r="L11" s="9"/>
      <c r="M11" s="10"/>
      <c r="N11" s="9"/>
      <c r="O11" s="9"/>
    </row>
    <row r="12" customFormat="false" ht="45.75" hidden="false" customHeight="true" outlineLevel="0" collapsed="false">
      <c r="A12" s="7" t="s">
        <v>251</v>
      </c>
      <c r="B12" s="7" t="s">
        <v>252</v>
      </c>
      <c r="C12" s="8" t="s">
        <v>253</v>
      </c>
      <c r="D12" s="8" t="s">
        <v>254</v>
      </c>
      <c r="E12" s="7" t="s">
        <v>255</v>
      </c>
      <c r="F12" s="7" t="s">
        <v>210</v>
      </c>
      <c r="G12" s="8" t="s">
        <v>256</v>
      </c>
      <c r="H12" s="8" t="s">
        <v>257</v>
      </c>
      <c r="I12" s="8" t="s">
        <v>258</v>
      </c>
      <c r="J12" s="8"/>
      <c r="K12" s="15" t="s">
        <v>259</v>
      </c>
      <c r="L12" s="9"/>
      <c r="M12" s="8"/>
      <c r="N12" s="7"/>
      <c r="O12" s="7"/>
    </row>
    <row r="13" customFormat="false" ht="45.75" hidden="false" customHeight="true" outlineLevel="0" collapsed="false">
      <c r="A13" s="9" t="s">
        <v>260</v>
      </c>
      <c r="B13" s="9" t="s">
        <v>261</v>
      </c>
      <c r="C13" s="10" t="s">
        <v>262</v>
      </c>
      <c r="D13" s="10" t="s">
        <v>263</v>
      </c>
      <c r="E13" s="9" t="s">
        <v>264</v>
      </c>
      <c r="F13" s="9" t="s">
        <v>197</v>
      </c>
      <c r="G13" s="10" t="s">
        <v>265</v>
      </c>
      <c r="H13" s="10" t="s">
        <v>266</v>
      </c>
      <c r="I13" s="10" t="s">
        <v>267</v>
      </c>
      <c r="J13" s="10"/>
      <c r="K13" s="15" t="s">
        <v>259</v>
      </c>
      <c r="L13" s="9"/>
      <c r="M13" s="10"/>
      <c r="N13" s="9"/>
      <c r="O13" s="9"/>
    </row>
    <row r="14" customFormat="false" ht="45.75" hidden="false" customHeight="true" outlineLevel="0" collapsed="false">
      <c r="A14" s="7" t="s">
        <v>268</v>
      </c>
      <c r="B14" s="7" t="s">
        <v>269</v>
      </c>
      <c r="C14" s="8" t="s">
        <v>270</v>
      </c>
      <c r="D14" s="8" t="s">
        <v>271</v>
      </c>
      <c r="E14" s="7" t="s">
        <v>264</v>
      </c>
      <c r="F14" s="7" t="s">
        <v>197</v>
      </c>
      <c r="G14" s="8" t="s">
        <v>272</v>
      </c>
      <c r="H14" s="8" t="s">
        <v>273</v>
      </c>
      <c r="I14" s="8" t="s">
        <v>274</v>
      </c>
      <c r="J14" s="8"/>
      <c r="K14" s="13" t="s">
        <v>201</v>
      </c>
      <c r="L14" s="13" t="s">
        <v>202</v>
      </c>
      <c r="M14" s="8"/>
      <c r="N14" s="7"/>
      <c r="O14" s="7"/>
    </row>
    <row r="15" customFormat="false" ht="45.75" hidden="false" customHeight="true" outlineLevel="0" collapsed="false">
      <c r="A15" s="9" t="s">
        <v>275</v>
      </c>
      <c r="B15" s="9" t="s">
        <v>276</v>
      </c>
      <c r="C15" s="10" t="s">
        <v>277</v>
      </c>
      <c r="D15" s="10" t="s">
        <v>278</v>
      </c>
      <c r="E15" s="9" t="s">
        <v>279</v>
      </c>
      <c r="F15" s="9" t="s">
        <v>233</v>
      </c>
      <c r="G15" s="10" t="s">
        <v>280</v>
      </c>
      <c r="H15" s="10" t="s">
        <v>281</v>
      </c>
      <c r="I15" s="10" t="s">
        <v>282</v>
      </c>
      <c r="J15" s="10"/>
      <c r="K15" s="15" t="s">
        <v>259</v>
      </c>
      <c r="L15" s="9"/>
      <c r="M15" s="10"/>
      <c r="N15" s="9"/>
      <c r="O15" s="9"/>
    </row>
    <row r="16" customFormat="false" ht="21.75" hidden="false" customHeight="true" outlineLevel="0" collapsed="false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</row>
    <row r="17" customFormat="false" ht="21.75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</row>
    <row r="18" customFormat="false" ht="21.75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 customFormat="false" ht="21.75" hidden="false" customHeight="true" outlineLevel="0" collapsed="false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</row>
    <row r="20" customFormat="false" ht="21.75" hidden="false" customHeight="true" outlineLevel="0" collapsed="false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customFormat="false" ht="21.75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 customFormat="false" ht="21.75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customFormat="false" ht="21.75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28"/>
    <col collapsed="false" customWidth="true" hidden="false" outlineLevel="0" max="15" min="15" style="0" width="24"/>
  </cols>
  <sheetData>
    <row r="1" customFormat="false" ht="33.75" hidden="false" customHeight="true" outlineLevel="0" collapsed="false">
      <c r="A1" s="11" t="s">
        <v>283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customFormat="false" ht="19.5" hidden="false" customHeight="true" outlineLevel="0" collapsed="false">
      <c r="A2" s="16" t="s">
        <v>284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customFormat="false" ht="25.5" hidden="false" customHeight="true" outlineLevel="0" collapsed="false">
      <c r="A3" s="6" t="s">
        <v>191</v>
      </c>
      <c r="B3" s="6" t="s">
        <v>178</v>
      </c>
      <c r="C3" s="6" t="s">
        <v>179</v>
      </c>
      <c r="D3" s="6" t="s">
        <v>285</v>
      </c>
      <c r="E3" s="6" t="s">
        <v>180</v>
      </c>
      <c r="F3" s="6" t="s">
        <v>286</v>
      </c>
      <c r="G3" s="6" t="s">
        <v>183</v>
      </c>
      <c r="H3" s="6" t="s">
        <v>33</v>
      </c>
      <c r="I3" s="6" t="s">
        <v>287</v>
      </c>
      <c r="J3" s="6" t="s">
        <v>288</v>
      </c>
      <c r="K3" s="6" t="s">
        <v>289</v>
      </c>
      <c r="L3" s="6" t="s">
        <v>290</v>
      </c>
      <c r="M3" s="6" t="s">
        <v>291</v>
      </c>
      <c r="N3" s="6" t="s">
        <v>292</v>
      </c>
      <c r="O3" s="6" t="s">
        <v>293</v>
      </c>
    </row>
    <row r="4" customFormat="false" ht="21.75" hidden="false" customHeight="true" outlineLevel="0" collapsed="false">
      <c r="A4" s="7" t="s">
        <v>294</v>
      </c>
      <c r="B4" s="7" t="s">
        <v>220</v>
      </c>
      <c r="C4" s="7" t="s">
        <v>221</v>
      </c>
      <c r="D4" s="8" t="s">
        <v>295</v>
      </c>
      <c r="E4" s="8" t="s">
        <v>194</v>
      </c>
      <c r="F4" s="19" t="s">
        <v>197</v>
      </c>
      <c r="G4" s="7" t="s">
        <v>197</v>
      </c>
      <c r="H4" s="17" t="s">
        <v>296</v>
      </c>
      <c r="I4" s="8" t="s">
        <v>297</v>
      </c>
      <c r="J4" s="7"/>
      <c r="K4" s="7" t="s">
        <v>135</v>
      </c>
      <c r="L4" s="7"/>
      <c r="M4" s="7"/>
      <c r="N4" s="8" t="s">
        <v>298</v>
      </c>
      <c r="O4" s="8" t="s">
        <v>299</v>
      </c>
    </row>
    <row r="5" customFormat="false" ht="21.75" hidden="false" customHeight="true" outlineLevel="0" collapsed="false">
      <c r="A5" s="9" t="s">
        <v>300</v>
      </c>
      <c r="B5" s="9" t="s">
        <v>244</v>
      </c>
      <c r="C5" s="9" t="s">
        <v>245</v>
      </c>
      <c r="D5" s="10" t="s">
        <v>301</v>
      </c>
      <c r="E5" s="10" t="s">
        <v>239</v>
      </c>
      <c r="F5" s="17" t="s">
        <v>233</v>
      </c>
      <c r="G5" s="9" t="s">
        <v>197</v>
      </c>
      <c r="H5" s="14" t="s">
        <v>86</v>
      </c>
      <c r="I5" s="10" t="s">
        <v>103</v>
      </c>
      <c r="J5" s="9"/>
      <c r="K5" s="9" t="s">
        <v>302</v>
      </c>
      <c r="L5" s="9"/>
      <c r="M5" s="9"/>
      <c r="N5" s="10" t="s">
        <v>303</v>
      </c>
      <c r="O5" s="10" t="s">
        <v>304</v>
      </c>
    </row>
    <row r="6" customFormat="false" ht="21.75" hidden="false" customHeight="true" outlineLevel="0" collapsed="false">
      <c r="A6" s="7" t="s">
        <v>305</v>
      </c>
      <c r="B6" s="7" t="s">
        <v>251</v>
      </c>
      <c r="C6" s="7" t="s">
        <v>252</v>
      </c>
      <c r="D6" s="8" t="s">
        <v>306</v>
      </c>
      <c r="E6" s="8" t="s">
        <v>253</v>
      </c>
      <c r="F6" s="14" t="s">
        <v>210</v>
      </c>
      <c r="G6" s="7" t="s">
        <v>210</v>
      </c>
      <c r="H6" s="17" t="s">
        <v>296</v>
      </c>
      <c r="I6" s="8" t="s">
        <v>307</v>
      </c>
      <c r="J6" s="7"/>
      <c r="K6" s="7" t="s">
        <v>308</v>
      </c>
      <c r="L6" s="7"/>
      <c r="M6" s="7"/>
      <c r="N6" s="8" t="s">
        <v>309</v>
      </c>
      <c r="O6" s="8" t="s">
        <v>310</v>
      </c>
    </row>
    <row r="7" customFormat="false" ht="21.75" hidden="false" customHeight="true" outlineLevel="0" collapsed="false">
      <c r="A7" s="9" t="s">
        <v>311</v>
      </c>
      <c r="B7" s="9" t="s">
        <v>260</v>
      </c>
      <c r="C7" s="9" t="s">
        <v>261</v>
      </c>
      <c r="D7" s="10" t="s">
        <v>312</v>
      </c>
      <c r="E7" s="10" t="s">
        <v>262</v>
      </c>
      <c r="F7" s="19" t="s">
        <v>197</v>
      </c>
      <c r="G7" s="9" t="s">
        <v>197</v>
      </c>
      <c r="H7" s="13" t="s">
        <v>313</v>
      </c>
      <c r="I7" s="10" t="s">
        <v>297</v>
      </c>
      <c r="J7" s="9"/>
      <c r="K7" s="9" t="s">
        <v>135</v>
      </c>
      <c r="L7" s="9"/>
      <c r="M7" s="9"/>
      <c r="N7" s="10" t="s">
        <v>314</v>
      </c>
      <c r="O7" s="10" t="s">
        <v>315</v>
      </c>
    </row>
    <row r="8" customFormat="false" ht="21.75" hidden="false" customHeight="true" outlineLevel="0" collapsed="false">
      <c r="A8" s="7" t="s">
        <v>316</v>
      </c>
      <c r="B8" s="7" t="s">
        <v>275</v>
      </c>
      <c r="C8" s="7" t="s">
        <v>276</v>
      </c>
      <c r="D8" s="8" t="s">
        <v>317</v>
      </c>
      <c r="E8" s="8" t="s">
        <v>277</v>
      </c>
      <c r="F8" s="17" t="s">
        <v>233</v>
      </c>
      <c r="G8" s="7" t="s">
        <v>197</v>
      </c>
      <c r="H8" s="17" t="s">
        <v>296</v>
      </c>
      <c r="I8" s="8" t="s">
        <v>48</v>
      </c>
      <c r="J8" s="7"/>
      <c r="K8" s="7" t="s">
        <v>135</v>
      </c>
      <c r="L8" s="7"/>
      <c r="M8" s="7"/>
      <c r="N8" s="8" t="s">
        <v>318</v>
      </c>
      <c r="O8" s="8" t="s">
        <v>319</v>
      </c>
    </row>
    <row r="9" customFormat="false" ht="19.5" hidden="false" customHeight="tru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</row>
    <row r="10" customFormat="false" ht="19.5" hidden="false" customHeight="true" outlineLevel="0" collapsed="false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 customFormat="false" ht="19.5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</row>
    <row r="12" customFormat="false" ht="19.5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3" customFormat="false" ht="19.5" hidden="false" customHeight="true" outlineLevel="0" collapsed="false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customFormat="false" ht="19.5" hidden="false" customHeight="true" outlineLevel="0" collapsed="false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</row>
    <row r="15" customFormat="false" ht="19.5" hidden="false" customHeight="true" outlineLevel="0" collapsed="false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</row>
    <row r="16" customFormat="false" ht="19.5" hidden="false" customHeight="true" outlineLevel="0" collapsed="false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10" min="6" style="0" width="14"/>
  </cols>
  <sheetData>
    <row r="1" customFormat="false" ht="33.75" hidden="false" customHeight="true" outlineLevel="0" collapsed="false">
      <c r="A1" s="11" t="s">
        <v>320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18" hidden="false" customHeight="true" outlineLevel="0" collapsed="false">
      <c r="A2" s="20" t="s">
        <v>321</v>
      </c>
      <c r="B2" s="20"/>
      <c r="C2" s="20"/>
      <c r="D2" s="20"/>
      <c r="E2" s="20"/>
      <c r="F2" s="20"/>
      <c r="G2" s="20"/>
      <c r="H2" s="20"/>
      <c r="I2" s="20"/>
      <c r="J2" s="20"/>
    </row>
    <row r="3" customFormat="false" ht="13.5" hidden="false" customHeight="true" outlineLevel="0" collapsed="false"/>
    <row r="4" customFormat="false" ht="21.75" hidden="false" customHeight="true" outlineLevel="0" collapsed="false">
      <c r="A4" s="6" t="s">
        <v>322</v>
      </c>
      <c r="B4" s="21" t="s">
        <v>201</v>
      </c>
      <c r="C4" s="22" t="s">
        <v>226</v>
      </c>
      <c r="D4" s="23" t="s">
        <v>259</v>
      </c>
      <c r="E4" s="24" t="s">
        <v>86</v>
      </c>
      <c r="F4" s="25" t="s">
        <v>323</v>
      </c>
      <c r="G4" s="22" t="s">
        <v>324</v>
      </c>
      <c r="H4" s="22" t="s">
        <v>325</v>
      </c>
      <c r="I4" s="21" t="s">
        <v>326</v>
      </c>
      <c r="J4" s="6" t="s">
        <v>327</v>
      </c>
    </row>
    <row r="5" customFormat="false" ht="42" hidden="false" customHeight="true" outlineLevel="0" collapsed="false">
      <c r="A5" s="26" t="n">
        <f aca="false">COUNTA('Test Cases'!A4:A15)</f>
        <v>12</v>
      </c>
      <c r="B5" s="27" t="n">
        <f aca="false">COUNTIF('Test Cases'!L4:L15,"Pass")</f>
        <v>6</v>
      </c>
      <c r="C5" s="28" t="n">
        <f aca="false">COUNTIF('Test Cases'!L4:L15,"Fail")</f>
        <v>1</v>
      </c>
      <c r="D5" s="29" t="n">
        <f aca="false">COUNTIF('Test Cases'!K4:K15,"Not Run")</f>
        <v>3</v>
      </c>
      <c r="E5" s="30" t="n">
        <f aca="false">COUNTIF('Test Cases'!K4:K15,"In Progress")</f>
        <v>2</v>
      </c>
      <c r="F5" s="31" t="n">
        <f aca="false">COUNTA('Defect Log'!A4:A8)</f>
        <v>5</v>
      </c>
      <c r="G5" s="28" t="n">
        <f aca="false">COUNTIF('Defect Log'!H4:H8,"Open")</f>
        <v>3</v>
      </c>
      <c r="H5" s="28" t="n">
        <f aca="false">COUNTIF('Defect Log'!F4:F8,"Critical")</f>
        <v>2</v>
      </c>
      <c r="I5" s="27" t="n">
        <f aca="false">COUNTIF('Defect Log'!H4:H8,"Closed")</f>
        <v>1</v>
      </c>
      <c r="J5" s="32" t="n">
        <f aca="false">IFERROR(COUNTIF('Test Cases'!L4:L15,"Pass")/COUNTA('Test Cases'!A4:A15),0)</f>
        <v>0.5</v>
      </c>
    </row>
    <row r="6" customFormat="false" ht="13.5" hidden="false" customHeight="true" outlineLevel="0" collapsed="false"/>
    <row r="7" customFormat="false" ht="19.5" hidden="false" customHeight="true" outlineLevel="0" collapsed="false">
      <c r="A7" s="5" t="s">
        <v>328</v>
      </c>
      <c r="B7" s="5"/>
      <c r="C7" s="5"/>
      <c r="D7" s="5"/>
      <c r="E7" s="5"/>
    </row>
    <row r="8" customFormat="false" ht="25.5" hidden="false" customHeight="true" outlineLevel="0" collapsed="false">
      <c r="A8" s="6" t="s">
        <v>182</v>
      </c>
      <c r="B8" s="6" t="s">
        <v>329</v>
      </c>
      <c r="C8" s="6" t="s">
        <v>201</v>
      </c>
      <c r="D8" s="6" t="s">
        <v>226</v>
      </c>
      <c r="E8" s="6" t="s">
        <v>259</v>
      </c>
    </row>
    <row r="9" customFormat="false" ht="18" hidden="false" customHeight="true" outlineLevel="0" collapsed="false">
      <c r="A9" s="33" t="s">
        <v>196</v>
      </c>
      <c r="B9" s="7" t="n">
        <f aca="false">COUNTIF('Test Cases'!E4:E15,"Functional")</f>
        <v>5</v>
      </c>
      <c r="C9" s="7" t="n">
        <f aca="false">COUNTIFS('Test Cases'!E4:E15,"Functional",'Test Cases'!L4:L15,"Pass")</f>
        <v>3</v>
      </c>
      <c r="D9" s="7" t="n">
        <f aca="false">COUNTIFS('Test Cases'!E4:E15,"Functional",'Test Cases'!L4:L15,"Fail")</f>
        <v>1</v>
      </c>
      <c r="E9" s="7" t="n">
        <f aca="false">COUNTIFS('Test Cases'!E4:E15,"Functional",'Test Cases'!K4:K15,"Not Run")</f>
        <v>0</v>
      </c>
    </row>
    <row r="10" customFormat="false" ht="18" hidden="false" customHeight="true" outlineLevel="0" collapsed="false">
      <c r="A10" s="33" t="s">
        <v>232</v>
      </c>
      <c r="B10" s="9" t="n">
        <f aca="false">COUNTIF('Test Cases'!E4:E15,"Security")</f>
        <v>2</v>
      </c>
      <c r="C10" s="9" t="n">
        <f aca="false">COUNTIFS('Test Cases'!E4:E15,"Security",'Test Cases'!L4:L15,"Pass")</f>
        <v>2</v>
      </c>
      <c r="D10" s="9" t="n">
        <f aca="false">COUNTIFS('Test Cases'!E4:E15,"Security",'Test Cases'!L4:L15,"Fail")</f>
        <v>0</v>
      </c>
      <c r="E10" s="9" t="n">
        <f aca="false">COUNTIFS('Test Cases'!E4:E15,"Security",'Test Cases'!K4:K15,"Not Run")</f>
        <v>0</v>
      </c>
    </row>
    <row r="11" customFormat="false" ht="18" hidden="false" customHeight="true" outlineLevel="0" collapsed="false">
      <c r="A11" s="33" t="s">
        <v>247</v>
      </c>
      <c r="B11" s="7" t="n">
        <f aca="false">COUNTIF('Test Cases'!E4:E15,"Performance")</f>
        <v>1</v>
      </c>
      <c r="C11" s="7" t="n">
        <f aca="false">COUNTIFS('Test Cases'!E4:E15,"Performance",'Test Cases'!L4:L15,"Pass")</f>
        <v>0</v>
      </c>
      <c r="D11" s="7" t="n">
        <f aca="false">COUNTIFS('Test Cases'!E4:E15,"Performance",'Test Cases'!L4:L15,"Fail")</f>
        <v>0</v>
      </c>
      <c r="E11" s="7" t="n">
        <f aca="false">COUNTIFS('Test Cases'!E4:E15,"Performance",'Test Cases'!K4:K15,"Not Run")</f>
        <v>0</v>
      </c>
    </row>
    <row r="12" customFormat="false" ht="18" hidden="false" customHeight="true" outlineLevel="0" collapsed="false">
      <c r="A12" s="33" t="s">
        <v>264</v>
      </c>
      <c r="B12" s="9" t="n">
        <f aca="false">COUNTIF('Test Cases'!E4:E15,"Integration")</f>
        <v>2</v>
      </c>
      <c r="C12" s="9" t="n">
        <f aca="false">COUNTIFS('Test Cases'!E4:E15,"Integration",'Test Cases'!L4:L15,"Pass")</f>
        <v>1</v>
      </c>
      <c r="D12" s="9" t="n">
        <f aca="false">COUNTIFS('Test Cases'!E4:E15,"Integration",'Test Cases'!L4:L15,"Fail")</f>
        <v>0</v>
      </c>
      <c r="E12" s="9" t="n">
        <f aca="false">COUNTIFS('Test Cases'!E4:E15,"Integration",'Test Cases'!K4:K15,"Not Run")</f>
        <v>1</v>
      </c>
    </row>
    <row r="13" customFormat="false" ht="18" hidden="false" customHeight="true" outlineLevel="0" collapsed="false">
      <c r="A13" s="33" t="s">
        <v>255</v>
      </c>
      <c r="B13" s="7" t="n">
        <f aca="false">COUNTIF('Test Cases'!E4:E15,"UI")</f>
        <v>1</v>
      </c>
      <c r="C13" s="7" t="n">
        <f aca="false">COUNTIFS('Test Cases'!E4:E15,"UI",'Test Cases'!L4:L15,"Pass")</f>
        <v>0</v>
      </c>
      <c r="D13" s="7" t="n">
        <f aca="false">COUNTIFS('Test Cases'!E4:E15,"UI",'Test Cases'!L4:L15,"Fail")</f>
        <v>0</v>
      </c>
      <c r="E13" s="7" t="n">
        <f aca="false">COUNTIFS('Test Cases'!E4:E15,"UI",'Test Cases'!K4:K15,"Not Run")</f>
        <v>1</v>
      </c>
    </row>
    <row r="14" customFormat="false" ht="18" hidden="false" customHeight="true" outlineLevel="0" collapsed="false">
      <c r="A14" s="33" t="s">
        <v>279</v>
      </c>
      <c r="B14" s="9" t="n">
        <f aca="false">COUNTIF('Test Cases'!E4:E15,"Compliance")</f>
        <v>1</v>
      </c>
      <c r="C14" s="9" t="n">
        <f aca="false">COUNTIFS('Test Cases'!E4:E15,"Compliance",'Test Cases'!L4:L15,"Pass")</f>
        <v>0</v>
      </c>
      <c r="D14" s="9" t="n">
        <f aca="false">COUNTIFS('Test Cases'!E4:E15,"Compliance",'Test Cases'!L4:L15,"Fail")</f>
        <v>0</v>
      </c>
      <c r="E14" s="9" t="n">
        <f aca="false">COUNTIFS('Test Cases'!E4:E15,"Compliance",'Test Cases'!K4:K15,"Not Run")</f>
        <v>1</v>
      </c>
    </row>
    <row r="15" customFormat="false" ht="13.5" hidden="false" customHeight="true" outlineLevel="0" collapsed="false"/>
    <row r="16" customFormat="false" ht="19.5" hidden="false" customHeight="true" outlineLevel="0" collapsed="false">
      <c r="A16" s="5" t="s">
        <v>330</v>
      </c>
      <c r="B16" s="5"/>
      <c r="C16" s="5"/>
      <c r="D16" s="5"/>
      <c r="E16" s="5"/>
    </row>
    <row r="17" customFormat="false" ht="25.5" hidden="false" customHeight="true" outlineLevel="0" collapsed="false">
      <c r="A17" s="6" t="s">
        <v>286</v>
      </c>
      <c r="B17" s="6" t="s">
        <v>329</v>
      </c>
      <c r="C17" s="6" t="s">
        <v>296</v>
      </c>
      <c r="D17" s="6" t="s">
        <v>86</v>
      </c>
      <c r="E17" s="6" t="s">
        <v>313</v>
      </c>
    </row>
    <row r="18" customFormat="false" ht="19.5" hidden="false" customHeight="true" outlineLevel="0" collapsed="false">
      <c r="A18" s="34" t="s">
        <v>233</v>
      </c>
      <c r="B18" s="17" t="n">
        <f aca="false">COUNTIF('Defect Log'!F4:F8,"Critical")</f>
        <v>2</v>
      </c>
      <c r="C18" s="17" t="n">
        <f aca="false">COUNTIFS('Defect Log'!F4:F8,"Critical",'Defect Log'!H4:H8,"Open")</f>
        <v>1</v>
      </c>
      <c r="D18" s="17" t="n">
        <f aca="false">COUNTIFS('Defect Log'!F4:F8,"Critical",'Defect Log'!H4:H8,"In Progress")</f>
        <v>1</v>
      </c>
      <c r="E18" s="17" t="n">
        <f aca="false">COUNTIFS('Defect Log'!F4:F8,"Critical",'Defect Log'!H4:H8,"Closed")</f>
        <v>0</v>
      </c>
    </row>
    <row r="19" customFormat="false" ht="19.5" hidden="false" customHeight="true" outlineLevel="0" collapsed="false">
      <c r="A19" s="35" t="s">
        <v>197</v>
      </c>
      <c r="B19" s="19" t="n">
        <f aca="false">COUNTIF('Defect Log'!F4:F8,"High")</f>
        <v>2</v>
      </c>
      <c r="C19" s="19" t="n">
        <f aca="false">COUNTIFS('Defect Log'!F4:F8,"High",'Defect Log'!H4:H8,"Open")</f>
        <v>1</v>
      </c>
      <c r="D19" s="19" t="n">
        <f aca="false">COUNTIFS('Defect Log'!F4:F8,"High",'Defect Log'!H4:H8,"In Progress")</f>
        <v>0</v>
      </c>
      <c r="E19" s="19" t="n">
        <f aca="false">COUNTIFS('Defect Log'!F4:F8,"High",'Defect Log'!H4:H8,"Closed")</f>
        <v>1</v>
      </c>
    </row>
    <row r="20" customFormat="false" ht="19.5" hidden="false" customHeight="true" outlineLevel="0" collapsed="false">
      <c r="A20" s="36" t="s">
        <v>210</v>
      </c>
      <c r="B20" s="14" t="n">
        <f aca="false">COUNTIF('Defect Log'!F4:F8,"Medium")</f>
        <v>1</v>
      </c>
      <c r="C20" s="14" t="n">
        <f aca="false">COUNTIFS('Defect Log'!F4:F8,"Medium",'Defect Log'!H4:H8,"Open")</f>
        <v>1</v>
      </c>
      <c r="D20" s="14" t="n">
        <f aca="false">COUNTIFS('Defect Log'!F4:F8,"Medium",'Defect Log'!H4:H8,"In Progress")</f>
        <v>0</v>
      </c>
      <c r="E20" s="14" t="n">
        <f aca="false">COUNTIFS('Defect Log'!F4:F8,"Medium",'Defect Log'!H4:H8,"Closed")</f>
        <v>0</v>
      </c>
    </row>
    <row r="21" customFormat="false" ht="19.5" hidden="false" customHeight="true" outlineLevel="0" collapsed="false">
      <c r="A21" s="37" t="s">
        <v>331</v>
      </c>
      <c r="B21" s="13" t="n">
        <f aca="false">COUNTIF('Defect Log'!F4:F8,"Low")</f>
        <v>0</v>
      </c>
      <c r="C21" s="13" t="n">
        <f aca="false">COUNTIFS('Defect Log'!F4:F8,"Low",'Defect Log'!H4:H8,"Open")</f>
        <v>0</v>
      </c>
      <c r="D21" s="13" t="n">
        <f aca="false">COUNTIFS('Defect Log'!F4:F8,"Low",'Defect Log'!H4:H8,"In Progress")</f>
        <v>0</v>
      </c>
      <c r="E21" s="13" t="n">
        <f aca="false">COUNTIFS('Defect Log'!F4:F8,"Low",'Defect Log'!H4:H8,"Closed")</f>
        <v>0</v>
      </c>
    </row>
  </sheetData>
  <mergeCells count="4">
    <mergeCell ref="A1:J1"/>
    <mergeCell ref="A2:J2"/>
    <mergeCell ref="A7:E7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4"/>
    <col collapsed="false" customWidth="true" hidden="false" outlineLevel="0" max="3" min="3" style="0" width="26"/>
    <col collapsed="false" customWidth="true" hidden="false" outlineLevel="0" max="4" min="4" style="0" width="54"/>
  </cols>
  <sheetData>
    <row r="1" customFormat="false" ht="36" hidden="false" customHeight="true" outlineLevel="0" collapsed="false">
      <c r="A1" s="11" t="s">
        <v>332</v>
      </c>
      <c r="B1" s="11"/>
      <c r="C1" s="11"/>
      <c r="D1" s="11"/>
    </row>
    <row r="2" customFormat="false" ht="19.5" hidden="false" customHeight="true" outlineLevel="0" collapsed="false">
      <c r="A2" s="5" t="s">
        <v>333</v>
      </c>
      <c r="B2" s="5"/>
      <c r="C2" s="5"/>
      <c r="D2" s="5"/>
    </row>
    <row r="3" customFormat="false" ht="60" hidden="false" customHeight="true" outlineLevel="0" collapsed="false">
      <c r="A3" s="12" t="s">
        <v>334</v>
      </c>
      <c r="B3" s="12"/>
      <c r="C3" s="12"/>
      <c r="D3" s="12"/>
    </row>
    <row r="5" customFormat="false" ht="19.5" hidden="false" customHeight="true" outlineLevel="0" collapsed="false">
      <c r="A5" s="5" t="s">
        <v>335</v>
      </c>
      <c r="B5" s="5"/>
      <c r="C5" s="5"/>
      <c r="D5" s="5"/>
    </row>
    <row r="6" customFormat="false" ht="60" hidden="false" customHeight="true" outlineLevel="0" collapsed="false">
      <c r="A6" s="12" t="s">
        <v>336</v>
      </c>
      <c r="B6" s="12"/>
      <c r="C6" s="12"/>
      <c r="D6" s="12"/>
    </row>
    <row r="8" customFormat="false" ht="19.5" hidden="false" customHeight="true" outlineLevel="0" collapsed="false">
      <c r="A8" s="5" t="s">
        <v>337</v>
      </c>
      <c r="B8" s="5"/>
      <c r="C8" s="5"/>
      <c r="D8" s="5"/>
    </row>
    <row r="9" customFormat="false" ht="60" hidden="false" customHeight="true" outlineLevel="0" collapsed="false">
      <c r="A9" s="12" t="s">
        <v>338</v>
      </c>
      <c r="B9" s="12"/>
      <c r="C9" s="12"/>
      <c r="D9" s="12"/>
    </row>
    <row r="11" customFormat="false" ht="19.5" hidden="false" customHeight="true" outlineLevel="0" collapsed="false">
      <c r="A11" s="5" t="s">
        <v>339</v>
      </c>
      <c r="B11" s="5"/>
      <c r="C11" s="5"/>
      <c r="D11" s="5"/>
    </row>
    <row r="12" customFormat="false" ht="60" hidden="false" customHeight="true" outlineLevel="0" collapsed="false">
      <c r="A12" s="12" t="s">
        <v>340</v>
      </c>
      <c r="B12" s="12"/>
      <c r="C12" s="12"/>
      <c r="D12" s="12"/>
    </row>
    <row r="14" customFormat="false" ht="19.5" hidden="false" customHeight="true" outlineLevel="0" collapsed="false">
      <c r="A14" s="5" t="s">
        <v>341</v>
      </c>
      <c r="B14" s="5"/>
      <c r="C14" s="5"/>
      <c r="D14" s="5"/>
    </row>
    <row r="15" customFormat="false" ht="60" hidden="false" customHeight="true" outlineLevel="0" collapsed="false">
      <c r="A15" s="12" t="s">
        <v>342</v>
      </c>
      <c r="B15" s="12"/>
      <c r="C15" s="12"/>
      <c r="D15" s="12"/>
    </row>
    <row r="17" customFormat="false" ht="19.5" hidden="false" customHeight="true" outlineLevel="0" collapsed="false">
      <c r="A17" s="5" t="s">
        <v>343</v>
      </c>
      <c r="B17" s="5"/>
      <c r="C17" s="5"/>
      <c r="D17" s="5"/>
    </row>
    <row r="18" customFormat="false" ht="60" hidden="false" customHeight="true" outlineLevel="0" collapsed="false">
      <c r="A18" s="12" t="s">
        <v>344</v>
      </c>
      <c r="B18" s="12"/>
      <c r="C18" s="12"/>
      <c r="D18" s="12"/>
    </row>
    <row r="20" customFormat="false" ht="19.5" hidden="false" customHeight="true" outlineLevel="0" collapsed="false">
      <c r="A20" s="5" t="s">
        <v>345</v>
      </c>
      <c r="B20" s="5"/>
      <c r="C20" s="5"/>
      <c r="D20" s="5"/>
    </row>
    <row r="21" customFormat="false" ht="60" hidden="false" customHeight="true" outlineLevel="0" collapsed="false">
      <c r="A21" s="12" t="s">
        <v>346</v>
      </c>
      <c r="B21" s="12"/>
      <c r="C21" s="12"/>
      <c r="D21" s="12"/>
    </row>
    <row r="23" customFormat="false" ht="19.5" hidden="false" customHeight="true" outlineLevel="0" collapsed="false">
      <c r="A23" s="5" t="s">
        <v>347</v>
      </c>
      <c r="B23" s="5"/>
      <c r="C23" s="5"/>
      <c r="D23" s="5"/>
    </row>
    <row r="24" customFormat="false" ht="60" hidden="false" customHeight="true" outlineLevel="0" collapsed="false">
      <c r="A24" s="12" t="s">
        <v>348</v>
      </c>
      <c r="B24" s="12"/>
      <c r="C24" s="12"/>
      <c r="D24" s="12"/>
    </row>
  </sheetData>
  <mergeCells count="17">
    <mergeCell ref="A1:D1"/>
    <mergeCell ref="A2:D2"/>
    <mergeCell ref="A3:D3"/>
    <mergeCell ref="A5:D5"/>
    <mergeCell ref="A6:D6"/>
    <mergeCell ref="A8:D8"/>
    <mergeCell ref="A9:D9"/>
    <mergeCell ref="A11:D11"/>
    <mergeCell ref="A12:D12"/>
    <mergeCell ref="A14:D14"/>
    <mergeCell ref="A15:D15"/>
    <mergeCell ref="A17:D17"/>
    <mergeCell ref="A18:D18"/>
    <mergeCell ref="A20:D20"/>
    <mergeCell ref="A21:D21"/>
    <mergeCell ref="A23:D23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2026-04-03T05:41:09Z</dcterms:created>
  <dc:creator>openpyxl</dc:creator>
  <dc:description/>
  <dc:language>en-US</dc:language>
  <cp:lastModifiedBy/>
  <dcterms:modified xsi:type="dcterms:W3CDTF">2026-04-03T05:41:09Z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